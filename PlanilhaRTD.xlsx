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reis\Documents\Daniel\Projetos\VDDashboard\"/>
    </mc:Choice>
  </mc:AlternateContent>
  <xr:revisionPtr revIDLastSave="0" documentId="8_{C88B28D8-5CCA-46D9-A14B-4C45920ECB9A}" xr6:coauthVersionLast="47" xr6:coauthVersionMax="47" xr10:uidLastSave="{00000000-0000-0000-0000-000000000000}"/>
  <bookViews>
    <workbookView xWindow="3624" yWindow="12852" windowWidth="23256" windowHeight="12576" xr2:uid="{5A0EDAED-E4A7-4BD5-920A-3986A15219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1" l="1"/>
  <c r="A1" i="1"/>
  <c r="A3" i="1"/>
  <c r="B3" i="1"/>
  <c r="C3" i="1"/>
  <c r="D3" i="1"/>
  <c r="E3" i="1"/>
  <c r="F3" i="1"/>
  <c r="G3" i="1"/>
  <c r="A4" i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  <c r="A10" i="1"/>
  <c r="B10" i="1"/>
  <c r="C10" i="1"/>
  <c r="D10" i="1"/>
  <c r="E10" i="1"/>
  <c r="F10" i="1"/>
  <c r="G10" i="1"/>
  <c r="A11" i="1"/>
  <c r="B11" i="1"/>
  <c r="C11" i="1"/>
  <c r="D11" i="1"/>
  <c r="E11" i="1"/>
  <c r="F11" i="1"/>
  <c r="G11" i="1"/>
  <c r="A12" i="1"/>
  <c r="B12" i="1"/>
  <c r="C12" i="1"/>
  <c r="D12" i="1"/>
  <c r="E12" i="1"/>
  <c r="F12" i="1"/>
  <c r="G12" i="1"/>
  <c r="A13" i="1"/>
  <c r="B13" i="1"/>
  <c r="C13" i="1"/>
  <c r="D13" i="1"/>
  <c r="E13" i="1"/>
  <c r="F13" i="1"/>
  <c r="G13" i="1"/>
  <c r="A14" i="1"/>
  <c r="B14" i="1"/>
  <c r="C14" i="1"/>
  <c r="D14" i="1"/>
  <c r="E14" i="1"/>
  <c r="F14" i="1"/>
  <c r="G14" i="1"/>
  <c r="A15" i="1"/>
  <c r="B15" i="1"/>
  <c r="C15" i="1"/>
  <c r="D15" i="1"/>
  <c r="E15" i="1"/>
  <c r="F15" i="1"/>
  <c r="G15" i="1"/>
  <c r="A16" i="1"/>
  <c r="B16" i="1"/>
  <c r="C16" i="1"/>
  <c r="D16" i="1"/>
  <c r="E16" i="1"/>
  <c r="F16" i="1"/>
  <c r="G16" i="1"/>
  <c r="A17" i="1"/>
  <c r="B17" i="1"/>
  <c r="C17" i="1"/>
  <c r="D17" i="1"/>
  <c r="E17" i="1"/>
  <c r="F17" i="1"/>
  <c r="G17" i="1"/>
  <c r="A18" i="1"/>
  <c r="B18" i="1"/>
  <c r="C18" i="1"/>
  <c r="D18" i="1"/>
  <c r="E18" i="1"/>
  <c r="F18" i="1"/>
  <c r="G18" i="1"/>
  <c r="A19" i="1"/>
  <c r="B19" i="1"/>
  <c r="C19" i="1"/>
  <c r="D19" i="1"/>
  <c r="E19" i="1"/>
  <c r="F19" i="1"/>
  <c r="G19" i="1"/>
  <c r="A20" i="1"/>
  <c r="B20" i="1"/>
  <c r="C20" i="1"/>
  <c r="D20" i="1"/>
  <c r="E20" i="1"/>
  <c r="F20" i="1"/>
  <c r="G20" i="1"/>
  <c r="A21" i="1"/>
  <c r="B21" i="1"/>
  <c r="C21" i="1"/>
  <c r="D21" i="1"/>
  <c r="E21" i="1"/>
  <c r="F21" i="1"/>
  <c r="G21" i="1"/>
  <c r="A22" i="1"/>
  <c r="B22" i="1"/>
  <c r="C22" i="1"/>
  <c r="D22" i="1"/>
  <c r="E22" i="1"/>
  <c r="F22" i="1"/>
  <c r="G22" i="1"/>
  <c r="A23" i="1"/>
  <c r="B23" i="1"/>
  <c r="C23" i="1"/>
  <c r="D23" i="1"/>
  <c r="E23" i="1"/>
  <c r="F23" i="1"/>
  <c r="G23" i="1"/>
  <c r="A24" i="1"/>
  <c r="B24" i="1"/>
  <c r="C24" i="1"/>
  <c r="D24" i="1"/>
  <c r="E24" i="1"/>
  <c r="F24" i="1"/>
  <c r="G24" i="1"/>
  <c r="A25" i="1"/>
  <c r="B25" i="1"/>
  <c r="C25" i="1"/>
  <c r="D25" i="1"/>
  <c r="E25" i="1"/>
  <c r="F25" i="1"/>
  <c r="G25" i="1"/>
  <c r="A26" i="1"/>
  <c r="B26" i="1"/>
  <c r="C26" i="1"/>
  <c r="D26" i="1"/>
  <c r="E26" i="1"/>
  <c r="F26" i="1"/>
  <c r="G26" i="1"/>
  <c r="A27" i="1"/>
  <c r="B27" i="1"/>
  <c r="C27" i="1"/>
  <c r="D27" i="1"/>
  <c r="E27" i="1"/>
  <c r="F27" i="1"/>
  <c r="G27" i="1"/>
  <c r="A28" i="1"/>
  <c r="B28" i="1"/>
  <c r="C28" i="1"/>
  <c r="D28" i="1"/>
  <c r="E28" i="1"/>
  <c r="F28" i="1"/>
  <c r="G28" i="1"/>
  <c r="A29" i="1"/>
  <c r="B29" i="1"/>
  <c r="C29" i="1"/>
  <c r="D29" i="1"/>
  <c r="E29" i="1"/>
  <c r="F29" i="1"/>
  <c r="G29" i="1"/>
  <c r="A30" i="1"/>
  <c r="B30" i="1"/>
  <c r="C30" i="1"/>
  <c r="D30" i="1"/>
  <c r="E30" i="1"/>
  <c r="F30" i="1"/>
  <c r="G30" i="1"/>
  <c r="A31" i="1"/>
  <c r="B31" i="1"/>
  <c r="C31" i="1"/>
  <c r="D31" i="1"/>
  <c r="E31" i="1"/>
  <c r="F31" i="1"/>
  <c r="G31" i="1"/>
  <c r="A32" i="1"/>
  <c r="B32" i="1"/>
  <c r="C32" i="1"/>
  <c r="D32" i="1"/>
  <c r="E32" i="1"/>
  <c r="F32" i="1"/>
  <c r="G32" i="1"/>
  <c r="A33" i="1"/>
  <c r="B33" i="1"/>
  <c r="C33" i="1"/>
  <c r="D33" i="1"/>
  <c r="E33" i="1"/>
  <c r="F33" i="1"/>
  <c r="G33" i="1"/>
  <c r="A34" i="1"/>
  <c r="B34" i="1"/>
  <c r="C34" i="1"/>
  <c r="D34" i="1"/>
  <c r="E34" i="1"/>
  <c r="F34" i="1"/>
  <c r="G34" i="1"/>
  <c r="A35" i="1"/>
  <c r="B35" i="1"/>
  <c r="C35" i="1"/>
  <c r="D35" i="1"/>
  <c r="E35" i="1"/>
  <c r="F35" i="1"/>
  <c r="G35" i="1"/>
  <c r="A36" i="1"/>
  <c r="B36" i="1"/>
  <c r="C36" i="1"/>
  <c r="D36" i="1"/>
  <c r="E36" i="1"/>
  <c r="F36" i="1"/>
  <c r="G36" i="1"/>
  <c r="A37" i="1"/>
  <c r="B37" i="1"/>
  <c r="C37" i="1"/>
  <c r="D37" i="1"/>
  <c r="E37" i="1"/>
  <c r="F37" i="1"/>
  <c r="G37" i="1"/>
  <c r="A38" i="1"/>
  <c r="B38" i="1"/>
  <c r="C38" i="1"/>
  <c r="D38" i="1"/>
  <c r="E38" i="1"/>
  <c r="F38" i="1"/>
  <c r="G38" i="1"/>
  <c r="A39" i="1"/>
  <c r="B39" i="1"/>
  <c r="C39" i="1"/>
  <c r="D39" i="1"/>
  <c r="E39" i="1"/>
  <c r="F39" i="1"/>
  <c r="G39" i="1"/>
  <c r="A40" i="1"/>
  <c r="B40" i="1"/>
  <c r="C40" i="1"/>
  <c r="D40" i="1"/>
  <c r="E40" i="1"/>
  <c r="F40" i="1"/>
  <c r="G40" i="1"/>
  <c r="A41" i="1"/>
  <c r="B41" i="1"/>
  <c r="C41" i="1"/>
  <c r="D41" i="1"/>
  <c r="E41" i="1"/>
  <c r="F41" i="1"/>
  <c r="G41" i="1"/>
  <c r="A42" i="1"/>
  <c r="B42" i="1"/>
  <c r="C42" i="1"/>
  <c r="D42" i="1"/>
  <c r="E42" i="1"/>
  <c r="F42" i="1"/>
  <c r="G42" i="1"/>
  <c r="A43" i="1"/>
  <c r="B43" i="1"/>
  <c r="C43" i="1"/>
  <c r="D43" i="1"/>
  <c r="E43" i="1"/>
  <c r="F43" i="1"/>
  <c r="G43" i="1"/>
  <c r="A44" i="1"/>
  <c r="B44" i="1"/>
  <c r="C44" i="1"/>
  <c r="D44" i="1"/>
  <c r="E44" i="1"/>
  <c r="F44" i="1"/>
  <c r="G44" i="1"/>
  <c r="A45" i="1"/>
  <c r="B45" i="1"/>
  <c r="C45" i="1"/>
  <c r="D45" i="1"/>
  <c r="E45" i="1"/>
  <c r="F45" i="1"/>
  <c r="G45" i="1"/>
  <c r="A46" i="1"/>
  <c r="B46" i="1"/>
  <c r="C46" i="1"/>
  <c r="D46" i="1"/>
  <c r="E46" i="1"/>
  <c r="F46" i="1"/>
  <c r="G46" i="1"/>
  <c r="A47" i="1"/>
  <c r="B47" i="1"/>
  <c r="C47" i="1"/>
  <c r="D47" i="1"/>
  <c r="E47" i="1"/>
  <c r="F47" i="1"/>
  <c r="G47" i="1"/>
  <c r="A48" i="1"/>
  <c r="B48" i="1"/>
  <c r="C48" i="1"/>
  <c r="D48" i="1"/>
  <c r="E48" i="1"/>
  <c r="F48" i="1"/>
  <c r="G48" i="1"/>
  <c r="A49" i="1"/>
  <c r="B49" i="1"/>
  <c r="C49" i="1"/>
  <c r="D49" i="1"/>
  <c r="E49" i="1"/>
  <c r="F49" i="1"/>
  <c r="G49" i="1"/>
  <c r="A50" i="1"/>
  <c r="B50" i="1"/>
  <c r="C50" i="1"/>
  <c r="D50" i="1"/>
  <c r="E50" i="1"/>
  <c r="F50" i="1"/>
  <c r="G50" i="1"/>
  <c r="A51" i="1"/>
  <c r="B51" i="1"/>
  <c r="C51" i="1"/>
  <c r="D51" i="1"/>
  <c r="E51" i="1"/>
  <c r="F51" i="1"/>
  <c r="G51" i="1"/>
  <c r="A52" i="1"/>
  <c r="B52" i="1"/>
  <c r="C52" i="1"/>
  <c r="D52" i="1"/>
  <c r="E52" i="1"/>
  <c r="F52" i="1"/>
  <c r="G52" i="1"/>
  <c r="A53" i="1"/>
  <c r="B53" i="1"/>
  <c r="C53" i="1"/>
  <c r="D53" i="1"/>
  <c r="E53" i="1"/>
  <c r="F53" i="1"/>
  <c r="G53" i="1"/>
  <c r="A54" i="1"/>
  <c r="B54" i="1"/>
  <c r="C54" i="1"/>
  <c r="D54" i="1"/>
  <c r="E54" i="1"/>
  <c r="F54" i="1"/>
  <c r="G54" i="1"/>
  <c r="A55" i="1"/>
  <c r="B55" i="1"/>
  <c r="C55" i="1"/>
  <c r="D55" i="1"/>
  <c r="E55" i="1"/>
  <c r="F55" i="1"/>
  <c r="G55" i="1"/>
  <c r="A56" i="1"/>
  <c r="B56" i="1"/>
  <c r="C56" i="1"/>
  <c r="D56" i="1"/>
  <c r="E56" i="1"/>
  <c r="F56" i="1"/>
  <c r="G56" i="1"/>
  <c r="A57" i="1"/>
  <c r="B57" i="1"/>
  <c r="C57" i="1"/>
  <c r="D57" i="1"/>
  <c r="E57" i="1"/>
  <c r="F57" i="1"/>
  <c r="G57" i="1"/>
  <c r="A58" i="1"/>
  <c r="B58" i="1"/>
  <c r="C58" i="1"/>
  <c r="D58" i="1"/>
  <c r="E58" i="1"/>
  <c r="F58" i="1"/>
  <c r="G58" i="1"/>
  <c r="A59" i="1"/>
  <c r="B59" i="1"/>
  <c r="C59" i="1"/>
  <c r="D59" i="1"/>
  <c r="E59" i="1"/>
  <c r="F59" i="1"/>
  <c r="G59" i="1"/>
  <c r="A60" i="1"/>
  <c r="B60" i="1"/>
  <c r="C60" i="1"/>
  <c r="D60" i="1"/>
  <c r="E60" i="1"/>
  <c r="F60" i="1"/>
  <c r="G60" i="1"/>
  <c r="A61" i="1"/>
  <c r="B61" i="1"/>
  <c r="C61" i="1"/>
  <c r="D61" i="1"/>
  <c r="E61" i="1"/>
  <c r="F61" i="1"/>
  <c r="G61" i="1"/>
  <c r="A62" i="1"/>
  <c r="B62" i="1"/>
  <c r="C62" i="1"/>
  <c r="D62" i="1"/>
  <c r="E62" i="1"/>
  <c r="F62" i="1"/>
  <c r="G62" i="1"/>
  <c r="A63" i="1"/>
  <c r="B63" i="1"/>
  <c r="C63" i="1"/>
  <c r="D63" i="1"/>
  <c r="E63" i="1"/>
  <c r="F63" i="1"/>
  <c r="G63" i="1"/>
  <c r="A64" i="1"/>
  <c r="B64" i="1"/>
  <c r="C64" i="1"/>
  <c r="D64" i="1"/>
  <c r="E64" i="1"/>
  <c r="F64" i="1"/>
  <c r="G64" i="1"/>
  <c r="A65" i="1"/>
  <c r="B65" i="1"/>
  <c r="C65" i="1"/>
  <c r="D65" i="1"/>
  <c r="E65" i="1"/>
  <c r="F65" i="1"/>
  <c r="G65" i="1"/>
  <c r="A66" i="1"/>
  <c r="B66" i="1"/>
  <c r="C66" i="1"/>
  <c r="D66" i="1"/>
  <c r="E66" i="1"/>
  <c r="F66" i="1"/>
  <c r="G66" i="1"/>
  <c r="A67" i="1"/>
  <c r="B67" i="1"/>
  <c r="C67" i="1"/>
  <c r="D67" i="1"/>
  <c r="E67" i="1"/>
  <c r="F67" i="1"/>
  <c r="G67" i="1"/>
  <c r="A68" i="1"/>
  <c r="B68" i="1"/>
  <c r="C68" i="1"/>
  <c r="D68" i="1"/>
  <c r="E68" i="1"/>
  <c r="F68" i="1"/>
  <c r="G68" i="1"/>
  <c r="A69" i="1"/>
  <c r="B69" i="1"/>
  <c r="C69" i="1"/>
  <c r="D69" i="1"/>
  <c r="E69" i="1"/>
  <c r="F69" i="1"/>
  <c r="G69" i="1"/>
  <c r="A70" i="1"/>
  <c r="B70" i="1"/>
  <c r="C70" i="1"/>
  <c r="D70" i="1"/>
  <c r="E70" i="1"/>
  <c r="F70" i="1"/>
  <c r="G70" i="1"/>
  <c r="A71" i="1"/>
  <c r="B71" i="1"/>
  <c r="C71" i="1"/>
  <c r="D71" i="1"/>
  <c r="E71" i="1"/>
  <c r="F71" i="1"/>
  <c r="G71" i="1"/>
  <c r="A72" i="1"/>
  <c r="B72" i="1"/>
  <c r="C72" i="1"/>
  <c r="D72" i="1"/>
  <c r="E72" i="1"/>
  <c r="F72" i="1"/>
  <c r="G72" i="1"/>
  <c r="A73" i="1"/>
  <c r="B73" i="1"/>
  <c r="C73" i="1"/>
  <c r="D73" i="1"/>
  <c r="E73" i="1"/>
  <c r="F73" i="1"/>
  <c r="G73" i="1"/>
  <c r="A74" i="1"/>
  <c r="B74" i="1"/>
  <c r="C74" i="1"/>
  <c r="D74" i="1"/>
  <c r="E74" i="1"/>
  <c r="F74" i="1"/>
  <c r="G74" i="1"/>
  <c r="A75" i="1"/>
  <c r="B75" i="1"/>
  <c r="C75" i="1"/>
  <c r="D75" i="1"/>
  <c r="E75" i="1"/>
  <c r="F75" i="1"/>
  <c r="G75" i="1"/>
  <c r="A76" i="1"/>
  <c r="B76" i="1"/>
  <c r="C76" i="1"/>
  <c r="D76" i="1"/>
  <c r="E76" i="1"/>
  <c r="F76" i="1"/>
  <c r="G76" i="1"/>
  <c r="A77" i="1"/>
  <c r="B77" i="1"/>
  <c r="C77" i="1"/>
  <c r="D77" i="1"/>
  <c r="E77" i="1"/>
  <c r="F77" i="1"/>
  <c r="G77" i="1"/>
  <c r="A78" i="1"/>
  <c r="B78" i="1"/>
  <c r="C78" i="1"/>
  <c r="D78" i="1"/>
  <c r="E78" i="1"/>
  <c r="F78" i="1"/>
  <c r="G78" i="1"/>
  <c r="A79" i="1"/>
  <c r="B79" i="1"/>
  <c r="C79" i="1"/>
  <c r="D79" i="1"/>
  <c r="E79" i="1"/>
  <c r="F79" i="1"/>
  <c r="G79" i="1"/>
  <c r="A80" i="1"/>
  <c r="B80" i="1"/>
  <c r="C80" i="1"/>
  <c r="D80" i="1"/>
  <c r="E80" i="1"/>
  <c r="F80" i="1"/>
  <c r="G80" i="1"/>
  <c r="A81" i="1"/>
  <c r="B81" i="1"/>
  <c r="C81" i="1"/>
  <c r="D81" i="1"/>
  <c r="E81" i="1"/>
  <c r="F81" i="1"/>
  <c r="G81" i="1"/>
  <c r="A82" i="1"/>
  <c r="B82" i="1"/>
  <c r="C82" i="1"/>
  <c r="D82" i="1"/>
  <c r="E82" i="1"/>
  <c r="F82" i="1"/>
  <c r="G82" i="1"/>
  <c r="A83" i="1"/>
  <c r="B83" i="1"/>
  <c r="C83" i="1"/>
  <c r="D83" i="1"/>
  <c r="E83" i="1"/>
  <c r="F83" i="1"/>
  <c r="G83" i="1"/>
  <c r="A84" i="1"/>
  <c r="B84" i="1"/>
  <c r="C84" i="1"/>
  <c r="D84" i="1"/>
  <c r="E84" i="1"/>
  <c r="F84" i="1"/>
  <c r="G84" i="1"/>
  <c r="A85" i="1"/>
  <c r="B85" i="1"/>
  <c r="C85" i="1"/>
  <c r="D85" i="1"/>
  <c r="E85" i="1"/>
  <c r="F85" i="1"/>
  <c r="G85" i="1"/>
  <c r="A86" i="1"/>
  <c r="B86" i="1"/>
  <c r="C86" i="1"/>
  <c r="D86" i="1"/>
  <c r="E86" i="1"/>
  <c r="F86" i="1"/>
  <c r="G86" i="1"/>
  <c r="A87" i="1"/>
  <c r="B87" i="1"/>
  <c r="C87" i="1"/>
  <c r="D87" i="1"/>
  <c r="E87" i="1"/>
  <c r="F87" i="1"/>
  <c r="G87" i="1"/>
  <c r="A88" i="1"/>
  <c r="B88" i="1"/>
  <c r="C88" i="1"/>
  <c r="D88" i="1"/>
  <c r="E88" i="1"/>
  <c r="F88" i="1"/>
  <c r="G88" i="1"/>
  <c r="A89" i="1"/>
  <c r="B89" i="1"/>
  <c r="C89" i="1"/>
  <c r="D89" i="1"/>
  <c r="E89" i="1"/>
  <c r="F89" i="1"/>
  <c r="G89" i="1"/>
  <c r="A90" i="1"/>
  <c r="B90" i="1"/>
  <c r="C90" i="1"/>
  <c r="D90" i="1"/>
  <c r="E90" i="1"/>
  <c r="F90" i="1"/>
  <c r="G90" i="1"/>
  <c r="A91" i="1"/>
  <c r="B91" i="1"/>
  <c r="C91" i="1"/>
  <c r="D91" i="1"/>
  <c r="E91" i="1"/>
  <c r="F91" i="1"/>
  <c r="G91" i="1"/>
  <c r="A92" i="1"/>
  <c r="B92" i="1"/>
  <c r="C92" i="1"/>
  <c r="D92" i="1"/>
  <c r="E92" i="1"/>
  <c r="F92" i="1"/>
  <c r="G92" i="1"/>
  <c r="A93" i="1"/>
  <c r="B93" i="1"/>
  <c r="C93" i="1"/>
  <c r="D93" i="1"/>
  <c r="E93" i="1"/>
  <c r="F93" i="1"/>
  <c r="G93" i="1"/>
  <c r="A94" i="1"/>
  <c r="B94" i="1"/>
  <c r="C94" i="1"/>
  <c r="D94" i="1"/>
  <c r="E94" i="1"/>
  <c r="F94" i="1"/>
  <c r="G94" i="1"/>
  <c r="A95" i="1"/>
  <c r="B95" i="1"/>
  <c r="C95" i="1"/>
  <c r="D95" i="1"/>
  <c r="E95" i="1"/>
  <c r="F95" i="1"/>
  <c r="G95" i="1"/>
  <c r="A96" i="1"/>
  <c r="B96" i="1"/>
  <c r="C96" i="1"/>
  <c r="D96" i="1"/>
  <c r="E96" i="1"/>
  <c r="F96" i="1"/>
  <c r="G96" i="1"/>
  <c r="A97" i="1"/>
  <c r="B97" i="1"/>
  <c r="C97" i="1"/>
  <c r="D97" i="1"/>
  <c r="E97" i="1"/>
  <c r="F97" i="1"/>
  <c r="G97" i="1"/>
  <c r="A98" i="1"/>
  <c r="B98" i="1"/>
  <c r="C98" i="1"/>
  <c r="D98" i="1"/>
  <c r="E98" i="1"/>
  <c r="F98" i="1"/>
  <c r="G98" i="1"/>
  <c r="A99" i="1"/>
  <c r="B99" i="1"/>
  <c r="C99" i="1"/>
  <c r="D99" i="1"/>
  <c r="E99" i="1"/>
  <c r="F99" i="1"/>
  <c r="G99" i="1"/>
  <c r="A100" i="1"/>
  <c r="B100" i="1"/>
  <c r="C100" i="1"/>
  <c r="D100" i="1"/>
  <c r="E100" i="1"/>
  <c r="F100" i="1"/>
  <c r="G100" i="1"/>
  <c r="A101" i="1"/>
  <c r="B101" i="1"/>
  <c r="C101" i="1"/>
  <c r="D101" i="1"/>
  <c r="E101" i="1"/>
  <c r="F101" i="1"/>
  <c r="G101" i="1"/>
  <c r="A102" i="1"/>
  <c r="B102" i="1"/>
  <c r="C102" i="1"/>
  <c r="D102" i="1"/>
  <c r="E102" i="1"/>
  <c r="F102" i="1"/>
  <c r="G102" i="1"/>
  <c r="A103" i="1"/>
  <c r="B103" i="1"/>
  <c r="C103" i="1"/>
  <c r="D103" i="1"/>
  <c r="E103" i="1"/>
  <c r="F103" i="1"/>
  <c r="G103" i="1"/>
  <c r="A104" i="1"/>
  <c r="B104" i="1"/>
  <c r="C104" i="1"/>
  <c r="D104" i="1"/>
  <c r="E104" i="1"/>
  <c r="F104" i="1"/>
  <c r="G104" i="1"/>
  <c r="A105" i="1"/>
  <c r="B105" i="1"/>
  <c r="C105" i="1"/>
  <c r="D105" i="1"/>
  <c r="E105" i="1"/>
  <c r="F105" i="1"/>
  <c r="G105" i="1"/>
  <c r="A106" i="1"/>
  <c r="B106" i="1"/>
  <c r="C106" i="1"/>
  <c r="D106" i="1"/>
  <c r="E106" i="1"/>
  <c r="F106" i="1"/>
  <c r="G106" i="1"/>
  <c r="A107" i="1"/>
  <c r="B107" i="1"/>
  <c r="C107" i="1"/>
  <c r="D107" i="1"/>
  <c r="E107" i="1"/>
  <c r="F107" i="1"/>
  <c r="G107" i="1"/>
  <c r="A108" i="1"/>
  <c r="B108" i="1"/>
  <c r="C108" i="1"/>
  <c r="D108" i="1"/>
  <c r="E108" i="1"/>
  <c r="F108" i="1"/>
  <c r="G108" i="1"/>
  <c r="A109" i="1"/>
  <c r="B109" i="1"/>
  <c r="C109" i="1"/>
  <c r="D109" i="1"/>
  <c r="E109" i="1"/>
  <c r="F109" i="1"/>
  <c r="G109" i="1"/>
  <c r="A110" i="1"/>
  <c r="B110" i="1"/>
  <c r="C110" i="1"/>
  <c r="D110" i="1"/>
  <c r="E110" i="1"/>
  <c r="F110" i="1"/>
  <c r="G110" i="1"/>
  <c r="A111" i="1"/>
  <c r="B111" i="1"/>
  <c r="C111" i="1"/>
  <c r="D111" i="1"/>
  <c r="E111" i="1"/>
  <c r="F111" i="1"/>
  <c r="G111" i="1"/>
  <c r="A112" i="1"/>
  <c r="B112" i="1"/>
  <c r="C112" i="1"/>
  <c r="D112" i="1"/>
  <c r="E112" i="1"/>
  <c r="F112" i="1"/>
  <c r="G112" i="1"/>
  <c r="A113" i="1"/>
  <c r="B113" i="1"/>
  <c r="C113" i="1"/>
  <c r="D113" i="1"/>
  <c r="E113" i="1"/>
  <c r="F113" i="1"/>
  <c r="G113" i="1"/>
  <c r="A114" i="1"/>
  <c r="B114" i="1"/>
  <c r="C114" i="1"/>
  <c r="D114" i="1"/>
  <c r="E114" i="1"/>
  <c r="F114" i="1"/>
  <c r="G114" i="1"/>
  <c r="A115" i="1"/>
  <c r="B115" i="1"/>
  <c r="C115" i="1"/>
  <c r="D115" i="1"/>
  <c r="E115" i="1"/>
  <c r="F115" i="1"/>
  <c r="G115" i="1"/>
  <c r="A116" i="1"/>
  <c r="B116" i="1"/>
  <c r="C116" i="1"/>
  <c r="D116" i="1"/>
  <c r="E116" i="1"/>
  <c r="F116" i="1"/>
  <c r="G116" i="1"/>
  <c r="A117" i="1"/>
  <c r="B117" i="1"/>
  <c r="C117" i="1"/>
  <c r="D117" i="1"/>
  <c r="E117" i="1"/>
  <c r="F117" i="1"/>
  <c r="G117" i="1"/>
  <c r="A118" i="1"/>
  <c r="B118" i="1"/>
  <c r="C118" i="1"/>
  <c r="D118" i="1"/>
  <c r="E118" i="1"/>
  <c r="F118" i="1"/>
  <c r="G118" i="1"/>
  <c r="A119" i="1"/>
  <c r="B119" i="1"/>
  <c r="C119" i="1"/>
  <c r="D119" i="1"/>
  <c r="E119" i="1"/>
  <c r="F119" i="1"/>
  <c r="G119" i="1"/>
  <c r="A120" i="1"/>
  <c r="B120" i="1"/>
  <c r="C120" i="1"/>
  <c r="D120" i="1"/>
  <c r="E120" i="1"/>
  <c r="F120" i="1"/>
  <c r="G120" i="1"/>
  <c r="A121" i="1"/>
  <c r="B121" i="1"/>
  <c r="C121" i="1"/>
  <c r="D121" i="1"/>
  <c r="E121" i="1"/>
  <c r="F121" i="1"/>
  <c r="G121" i="1"/>
  <c r="A122" i="1"/>
  <c r="B122" i="1"/>
  <c r="C122" i="1"/>
  <c r="D122" i="1"/>
  <c r="E122" i="1"/>
  <c r="F122" i="1"/>
  <c r="G122" i="1"/>
  <c r="A123" i="1"/>
  <c r="B123" i="1"/>
  <c r="C123" i="1"/>
  <c r="D123" i="1"/>
  <c r="E123" i="1"/>
  <c r="F123" i="1"/>
  <c r="G123" i="1"/>
  <c r="A124" i="1"/>
  <c r="B124" i="1"/>
  <c r="C124" i="1"/>
  <c r="D124" i="1"/>
  <c r="E124" i="1"/>
  <c r="F124" i="1"/>
  <c r="G124" i="1"/>
  <c r="A125" i="1"/>
  <c r="B125" i="1"/>
  <c r="C125" i="1"/>
  <c r="D125" i="1"/>
  <c r="E125" i="1"/>
  <c r="F125" i="1"/>
  <c r="G125" i="1"/>
  <c r="A126" i="1"/>
  <c r="B126" i="1"/>
  <c r="C126" i="1"/>
  <c r="D126" i="1"/>
  <c r="E126" i="1"/>
  <c r="F126" i="1"/>
  <c r="G126" i="1"/>
  <c r="A127" i="1"/>
  <c r="B127" i="1"/>
  <c r="C127" i="1"/>
  <c r="D127" i="1"/>
  <c r="E127" i="1"/>
  <c r="F127" i="1"/>
  <c r="G127" i="1"/>
  <c r="A128" i="1"/>
  <c r="B128" i="1"/>
  <c r="C128" i="1"/>
  <c r="D128" i="1"/>
  <c r="E128" i="1"/>
  <c r="F128" i="1"/>
  <c r="G128" i="1"/>
  <c r="A129" i="1"/>
  <c r="B129" i="1"/>
  <c r="C129" i="1"/>
  <c r="D129" i="1"/>
  <c r="E129" i="1"/>
  <c r="F129" i="1"/>
  <c r="G129" i="1"/>
  <c r="A130" i="1"/>
  <c r="B130" i="1"/>
  <c r="C130" i="1"/>
  <c r="D130" i="1"/>
  <c r="E130" i="1"/>
  <c r="F130" i="1"/>
  <c r="G130" i="1"/>
  <c r="A131" i="1"/>
  <c r="B131" i="1"/>
  <c r="C131" i="1"/>
  <c r="D131" i="1"/>
  <c r="E131" i="1"/>
  <c r="F131" i="1"/>
  <c r="G131" i="1"/>
  <c r="A132" i="1"/>
  <c r="B132" i="1"/>
  <c r="C132" i="1"/>
  <c r="D132" i="1"/>
  <c r="E132" i="1"/>
  <c r="F132" i="1"/>
  <c r="G132" i="1"/>
  <c r="A133" i="1"/>
  <c r="B133" i="1"/>
  <c r="C133" i="1"/>
  <c r="D133" i="1"/>
  <c r="E133" i="1"/>
  <c r="F133" i="1"/>
  <c r="G133" i="1"/>
  <c r="A134" i="1"/>
  <c r="B134" i="1"/>
  <c r="C134" i="1"/>
  <c r="D134" i="1"/>
  <c r="E134" i="1"/>
  <c r="F134" i="1"/>
  <c r="G134" i="1"/>
  <c r="A135" i="1"/>
  <c r="B135" i="1"/>
  <c r="C135" i="1"/>
  <c r="D135" i="1"/>
  <c r="E135" i="1"/>
  <c r="F135" i="1"/>
  <c r="G135" i="1"/>
  <c r="A136" i="1"/>
  <c r="B136" i="1"/>
  <c r="C136" i="1"/>
  <c r="D136" i="1"/>
  <c r="E136" i="1"/>
  <c r="F136" i="1"/>
  <c r="G136" i="1"/>
  <c r="A137" i="1"/>
  <c r="B137" i="1"/>
  <c r="C137" i="1"/>
  <c r="D137" i="1"/>
  <c r="E137" i="1"/>
  <c r="F137" i="1"/>
  <c r="G137" i="1"/>
  <c r="A138" i="1"/>
  <c r="B138" i="1"/>
  <c r="C138" i="1"/>
  <c r="D138" i="1"/>
  <c r="E138" i="1"/>
  <c r="F138" i="1"/>
  <c r="G138" i="1"/>
  <c r="A139" i="1"/>
  <c r="B139" i="1"/>
  <c r="C139" i="1"/>
  <c r="D139" i="1"/>
  <c r="E139" i="1"/>
  <c r="F139" i="1"/>
  <c r="G139" i="1"/>
  <c r="A140" i="1"/>
  <c r="B140" i="1"/>
  <c r="C140" i="1"/>
  <c r="D140" i="1"/>
  <c r="E140" i="1"/>
  <c r="F140" i="1"/>
  <c r="G140" i="1"/>
  <c r="A141" i="1"/>
  <c r="B141" i="1"/>
  <c r="C141" i="1"/>
  <c r="D141" i="1"/>
  <c r="E141" i="1"/>
  <c r="F141" i="1"/>
  <c r="G141" i="1"/>
  <c r="A142" i="1"/>
  <c r="B142" i="1"/>
  <c r="C142" i="1"/>
  <c r="D142" i="1"/>
  <c r="E142" i="1"/>
  <c r="F142" i="1"/>
  <c r="G142" i="1"/>
  <c r="A143" i="1"/>
  <c r="B143" i="1"/>
  <c r="C143" i="1"/>
  <c r="D143" i="1"/>
  <c r="E143" i="1"/>
  <c r="F143" i="1"/>
  <c r="G143" i="1"/>
  <c r="A144" i="1"/>
  <c r="B144" i="1"/>
  <c r="C144" i="1"/>
  <c r="D144" i="1"/>
  <c r="E144" i="1"/>
  <c r="F144" i="1"/>
  <c r="G144" i="1"/>
  <c r="A145" i="1"/>
  <c r="B145" i="1"/>
  <c r="C145" i="1"/>
  <c r="D145" i="1"/>
  <c r="E145" i="1"/>
  <c r="F145" i="1"/>
  <c r="G145" i="1"/>
  <c r="A146" i="1"/>
  <c r="B146" i="1"/>
  <c r="C146" i="1"/>
  <c r="D146" i="1"/>
  <c r="E146" i="1"/>
  <c r="F146" i="1"/>
  <c r="G146" i="1"/>
  <c r="A147" i="1"/>
  <c r="B147" i="1"/>
  <c r="C147" i="1"/>
  <c r="D147" i="1"/>
  <c r="E147" i="1"/>
  <c r="F147" i="1"/>
  <c r="G147" i="1"/>
  <c r="A148" i="1"/>
  <c r="B148" i="1"/>
  <c r="C148" i="1"/>
  <c r="D148" i="1"/>
  <c r="E148" i="1"/>
  <c r="F148" i="1"/>
  <c r="G148" i="1"/>
  <c r="A149" i="1"/>
  <c r="B149" i="1"/>
  <c r="C149" i="1"/>
  <c r="D149" i="1"/>
  <c r="E149" i="1"/>
  <c r="F149" i="1"/>
  <c r="G149" i="1"/>
  <c r="A150" i="1"/>
  <c r="B150" i="1"/>
  <c r="C150" i="1"/>
  <c r="D150" i="1"/>
  <c r="E150" i="1"/>
  <c r="F150" i="1"/>
  <c r="G150" i="1"/>
  <c r="A151" i="1"/>
  <c r="B151" i="1"/>
  <c r="C151" i="1"/>
  <c r="D151" i="1"/>
  <c r="E151" i="1"/>
  <c r="F151" i="1"/>
  <c r="G151" i="1"/>
  <c r="A152" i="1"/>
  <c r="B152" i="1"/>
  <c r="C152" i="1"/>
  <c r="D152" i="1"/>
  <c r="E152" i="1"/>
  <c r="F152" i="1"/>
  <c r="G152" i="1"/>
  <c r="A153" i="1"/>
  <c r="B153" i="1"/>
  <c r="C153" i="1"/>
  <c r="D153" i="1"/>
  <c r="E153" i="1"/>
  <c r="F153" i="1"/>
  <c r="G153" i="1"/>
  <c r="A154" i="1"/>
  <c r="B154" i="1"/>
  <c r="C154" i="1"/>
  <c r="D154" i="1"/>
  <c r="E154" i="1"/>
  <c r="F154" i="1"/>
  <c r="G154" i="1"/>
  <c r="A155" i="1"/>
  <c r="B155" i="1"/>
  <c r="C155" i="1"/>
  <c r="D155" i="1"/>
  <c r="E155" i="1"/>
  <c r="F155" i="1"/>
  <c r="G155" i="1"/>
  <c r="A156" i="1"/>
  <c r="B156" i="1"/>
  <c r="C156" i="1"/>
  <c r="D156" i="1"/>
  <c r="E156" i="1"/>
  <c r="F156" i="1"/>
  <c r="G156" i="1"/>
  <c r="A157" i="1"/>
  <c r="B157" i="1"/>
  <c r="C157" i="1"/>
  <c r="D157" i="1"/>
  <c r="E157" i="1"/>
  <c r="F157" i="1"/>
  <c r="G157" i="1"/>
  <c r="A158" i="1"/>
  <c r="B158" i="1"/>
  <c r="C158" i="1"/>
  <c r="D158" i="1"/>
  <c r="E158" i="1"/>
  <c r="F158" i="1"/>
  <c r="G158" i="1"/>
  <c r="A159" i="1"/>
  <c r="B159" i="1"/>
  <c r="C159" i="1"/>
  <c r="D159" i="1"/>
  <c r="E159" i="1"/>
  <c r="F159" i="1"/>
  <c r="G159" i="1"/>
  <c r="A160" i="1"/>
  <c r="B160" i="1"/>
  <c r="C160" i="1"/>
  <c r="D160" i="1"/>
  <c r="E160" i="1"/>
  <c r="F160" i="1"/>
  <c r="G160" i="1"/>
  <c r="A161" i="1"/>
  <c r="B161" i="1"/>
  <c r="C161" i="1"/>
  <c r="D161" i="1"/>
  <c r="E161" i="1"/>
  <c r="F161" i="1"/>
  <c r="G161" i="1"/>
  <c r="A162" i="1"/>
  <c r="B162" i="1"/>
  <c r="C162" i="1"/>
  <c r="D162" i="1"/>
  <c r="E162" i="1"/>
  <c r="F162" i="1"/>
  <c r="G162" i="1"/>
  <c r="A163" i="1"/>
  <c r="B163" i="1"/>
  <c r="C163" i="1"/>
  <c r="D163" i="1"/>
  <c r="E163" i="1"/>
  <c r="F163" i="1"/>
  <c r="G163" i="1"/>
  <c r="A164" i="1"/>
  <c r="B164" i="1"/>
  <c r="C164" i="1"/>
  <c r="D164" i="1"/>
  <c r="E164" i="1"/>
  <c r="F164" i="1"/>
  <c r="G164" i="1"/>
  <c r="A165" i="1"/>
  <c r="B165" i="1"/>
  <c r="C165" i="1"/>
  <c r="D165" i="1"/>
  <c r="E165" i="1"/>
  <c r="F165" i="1"/>
  <c r="G165" i="1"/>
  <c r="A166" i="1"/>
  <c r="B166" i="1"/>
  <c r="C166" i="1"/>
  <c r="D166" i="1"/>
  <c r="E166" i="1"/>
  <c r="F166" i="1"/>
  <c r="G166" i="1"/>
  <c r="A167" i="1"/>
  <c r="B167" i="1"/>
  <c r="C167" i="1"/>
  <c r="D167" i="1"/>
  <c r="E167" i="1"/>
  <c r="F167" i="1"/>
  <c r="G167" i="1"/>
  <c r="A168" i="1"/>
  <c r="B168" i="1"/>
  <c r="C168" i="1"/>
  <c r="D168" i="1"/>
  <c r="E168" i="1"/>
  <c r="F168" i="1"/>
  <c r="G168" i="1"/>
  <c r="A169" i="1"/>
  <c r="B169" i="1"/>
  <c r="C169" i="1"/>
  <c r="D169" i="1"/>
  <c r="E169" i="1"/>
  <c r="F169" i="1"/>
  <c r="G169" i="1"/>
  <c r="A170" i="1"/>
  <c r="B170" i="1"/>
  <c r="C170" i="1"/>
  <c r="D170" i="1"/>
  <c r="E170" i="1"/>
  <c r="F170" i="1"/>
  <c r="G170" i="1"/>
  <c r="A171" i="1"/>
  <c r="B171" i="1"/>
  <c r="C171" i="1"/>
  <c r="D171" i="1"/>
  <c r="E171" i="1"/>
  <c r="F171" i="1"/>
  <c r="G171" i="1"/>
  <c r="A172" i="1"/>
  <c r="B172" i="1"/>
  <c r="C172" i="1"/>
  <c r="D172" i="1"/>
  <c r="E172" i="1"/>
  <c r="F172" i="1"/>
  <c r="G172" i="1"/>
  <c r="A173" i="1"/>
  <c r="B173" i="1"/>
  <c r="C173" i="1"/>
  <c r="D173" i="1"/>
  <c r="E173" i="1"/>
  <c r="F173" i="1"/>
  <c r="G173" i="1"/>
  <c r="A174" i="1"/>
  <c r="B174" i="1"/>
  <c r="C174" i="1"/>
  <c r="D174" i="1"/>
  <c r="E174" i="1"/>
  <c r="F174" i="1"/>
  <c r="G174" i="1"/>
  <c r="A175" i="1"/>
  <c r="B175" i="1"/>
  <c r="C175" i="1"/>
  <c r="D175" i="1"/>
  <c r="E175" i="1"/>
  <c r="F175" i="1"/>
  <c r="G175" i="1"/>
  <c r="A176" i="1"/>
  <c r="B176" i="1"/>
  <c r="C176" i="1"/>
  <c r="D176" i="1"/>
  <c r="E176" i="1"/>
  <c r="F176" i="1"/>
  <c r="G176" i="1"/>
  <c r="A177" i="1"/>
  <c r="B177" i="1"/>
  <c r="C177" i="1"/>
  <c r="D177" i="1"/>
  <c r="E177" i="1"/>
  <c r="F177" i="1"/>
  <c r="G177" i="1"/>
  <c r="A178" i="1"/>
  <c r="B178" i="1"/>
  <c r="C178" i="1"/>
  <c r="D178" i="1"/>
  <c r="E178" i="1"/>
  <c r="F178" i="1"/>
  <c r="G178" i="1"/>
  <c r="A179" i="1"/>
  <c r="B179" i="1"/>
  <c r="C179" i="1"/>
  <c r="D179" i="1"/>
  <c r="E179" i="1"/>
  <c r="F179" i="1"/>
  <c r="G179" i="1"/>
  <c r="A180" i="1"/>
  <c r="B180" i="1"/>
  <c r="C180" i="1"/>
  <c r="D180" i="1"/>
  <c r="E180" i="1"/>
  <c r="F180" i="1"/>
  <c r="G180" i="1"/>
  <c r="A181" i="1"/>
  <c r="B181" i="1"/>
  <c r="C181" i="1"/>
  <c r="D181" i="1"/>
  <c r="E181" i="1"/>
  <c r="F181" i="1"/>
  <c r="G181" i="1"/>
  <c r="A182" i="1"/>
  <c r="B182" i="1"/>
  <c r="C182" i="1"/>
  <c r="D182" i="1"/>
  <c r="E182" i="1"/>
  <c r="F182" i="1"/>
  <c r="G182" i="1"/>
  <c r="A183" i="1"/>
  <c r="B183" i="1"/>
  <c r="C183" i="1"/>
  <c r="D183" i="1"/>
  <c r="E183" i="1"/>
  <c r="F183" i="1"/>
  <c r="G183" i="1"/>
  <c r="A184" i="1"/>
  <c r="B184" i="1"/>
  <c r="C184" i="1"/>
  <c r="D184" i="1"/>
  <c r="E184" i="1"/>
  <c r="F184" i="1"/>
  <c r="G184" i="1"/>
  <c r="A185" i="1"/>
  <c r="B185" i="1"/>
  <c r="C185" i="1"/>
  <c r="D185" i="1"/>
  <c r="E185" i="1"/>
  <c r="F185" i="1"/>
  <c r="G185" i="1"/>
  <c r="A186" i="1"/>
  <c r="B186" i="1"/>
  <c r="C186" i="1"/>
  <c r="D186" i="1"/>
  <c r="E186" i="1"/>
  <c r="F186" i="1"/>
  <c r="G186" i="1"/>
  <c r="A187" i="1"/>
  <c r="B187" i="1"/>
  <c r="C187" i="1"/>
  <c r="D187" i="1"/>
  <c r="E187" i="1"/>
  <c r="F187" i="1"/>
  <c r="G187" i="1"/>
  <c r="A188" i="1"/>
  <c r="B188" i="1"/>
  <c r="C188" i="1"/>
  <c r="D188" i="1"/>
  <c r="E188" i="1"/>
  <c r="F188" i="1"/>
  <c r="G188" i="1"/>
  <c r="A189" i="1"/>
  <c r="B189" i="1"/>
  <c r="C189" i="1"/>
  <c r="D189" i="1"/>
  <c r="E189" i="1"/>
  <c r="F189" i="1"/>
  <c r="G189" i="1"/>
  <c r="A190" i="1"/>
  <c r="B190" i="1"/>
  <c r="C190" i="1"/>
  <c r="D190" i="1"/>
  <c r="E190" i="1"/>
  <c r="F190" i="1"/>
  <c r="G190" i="1"/>
  <c r="A191" i="1"/>
  <c r="B191" i="1"/>
  <c r="C191" i="1"/>
  <c r="D191" i="1"/>
  <c r="E191" i="1"/>
  <c r="F191" i="1"/>
  <c r="G191" i="1"/>
  <c r="A192" i="1"/>
  <c r="B192" i="1"/>
  <c r="C192" i="1"/>
  <c r="D192" i="1"/>
  <c r="E192" i="1"/>
  <c r="F192" i="1"/>
  <c r="G192" i="1"/>
  <c r="A193" i="1"/>
  <c r="B193" i="1"/>
  <c r="C193" i="1"/>
  <c r="D193" i="1"/>
  <c r="E193" i="1"/>
  <c r="F193" i="1"/>
  <c r="G193" i="1"/>
  <c r="A194" i="1"/>
  <c r="B194" i="1"/>
  <c r="C194" i="1"/>
  <c r="D194" i="1"/>
  <c r="E194" i="1"/>
  <c r="F194" i="1"/>
  <c r="G194" i="1"/>
  <c r="A195" i="1"/>
  <c r="B195" i="1"/>
  <c r="C195" i="1"/>
  <c r="D195" i="1"/>
  <c r="E195" i="1"/>
  <c r="F195" i="1"/>
  <c r="G195" i="1"/>
  <c r="A196" i="1"/>
  <c r="B196" i="1"/>
  <c r="C196" i="1"/>
  <c r="D196" i="1"/>
  <c r="E196" i="1"/>
  <c r="F196" i="1"/>
  <c r="G196" i="1"/>
  <c r="A197" i="1"/>
  <c r="B197" i="1"/>
  <c r="C197" i="1"/>
  <c r="D197" i="1"/>
  <c r="E197" i="1"/>
  <c r="F197" i="1"/>
  <c r="G197" i="1"/>
  <c r="A198" i="1"/>
  <c r="B198" i="1"/>
  <c r="C198" i="1"/>
  <c r="D198" i="1"/>
  <c r="E198" i="1"/>
  <c r="F198" i="1"/>
  <c r="G198" i="1"/>
  <c r="A199" i="1"/>
  <c r="B199" i="1"/>
  <c r="C199" i="1"/>
  <c r="D199" i="1"/>
  <c r="E199" i="1"/>
  <c r="F199" i="1"/>
  <c r="G199" i="1"/>
  <c r="A200" i="1"/>
  <c r="B200" i="1"/>
  <c r="C200" i="1"/>
  <c r="D200" i="1"/>
  <c r="E200" i="1"/>
  <c r="F200" i="1"/>
  <c r="G200" i="1"/>
  <c r="A201" i="1"/>
  <c r="B201" i="1"/>
  <c r="C201" i="1"/>
  <c r="D201" i="1"/>
  <c r="E201" i="1"/>
  <c r="F201" i="1"/>
  <c r="G201" i="1"/>
  <c r="A202" i="1"/>
  <c r="B202" i="1"/>
  <c r="C202" i="1"/>
  <c r="D202" i="1"/>
  <c r="E202" i="1"/>
  <c r="F202" i="1"/>
  <c r="G202" i="1"/>
  <c r="A203" i="1"/>
  <c r="B203" i="1"/>
  <c r="C203" i="1"/>
  <c r="D203" i="1"/>
  <c r="E203" i="1"/>
  <c r="F203" i="1"/>
  <c r="G203" i="1"/>
  <c r="A204" i="1"/>
  <c r="B204" i="1"/>
  <c r="C204" i="1"/>
  <c r="D204" i="1"/>
  <c r="E204" i="1"/>
  <c r="F204" i="1"/>
  <c r="G204" i="1"/>
  <c r="A205" i="1"/>
  <c r="B205" i="1"/>
  <c r="C205" i="1"/>
  <c r="D205" i="1"/>
  <c r="E205" i="1"/>
  <c r="F205" i="1"/>
  <c r="G205" i="1"/>
  <c r="A206" i="1"/>
  <c r="B206" i="1"/>
  <c r="C206" i="1"/>
  <c r="D206" i="1"/>
  <c r="E206" i="1"/>
  <c r="F206" i="1"/>
  <c r="G206" i="1"/>
  <c r="A207" i="1"/>
  <c r="B207" i="1"/>
  <c r="C207" i="1"/>
  <c r="D207" i="1"/>
  <c r="E207" i="1"/>
  <c r="F207" i="1"/>
  <c r="G207" i="1"/>
  <c r="A208" i="1"/>
  <c r="B208" i="1"/>
  <c r="C208" i="1"/>
  <c r="D208" i="1"/>
  <c r="E208" i="1"/>
  <c r="F208" i="1"/>
  <c r="G208" i="1"/>
  <c r="A209" i="1"/>
  <c r="B209" i="1"/>
  <c r="C209" i="1"/>
  <c r="D209" i="1"/>
  <c r="E209" i="1"/>
  <c r="F209" i="1"/>
  <c r="G209" i="1"/>
  <c r="A210" i="1"/>
  <c r="B210" i="1"/>
  <c r="C210" i="1"/>
  <c r="D210" i="1"/>
  <c r="E210" i="1"/>
  <c r="F210" i="1"/>
  <c r="G210" i="1"/>
  <c r="A211" i="1"/>
  <c r="B211" i="1"/>
  <c r="C211" i="1"/>
  <c r="D211" i="1"/>
  <c r="E211" i="1"/>
  <c r="F211" i="1"/>
  <c r="G211" i="1"/>
  <c r="A212" i="1"/>
  <c r="B212" i="1"/>
  <c r="C212" i="1"/>
  <c r="D212" i="1"/>
  <c r="E212" i="1"/>
  <c r="F212" i="1"/>
  <c r="G212" i="1"/>
  <c r="A213" i="1"/>
  <c r="B213" i="1"/>
  <c r="C213" i="1"/>
  <c r="D213" i="1"/>
  <c r="E213" i="1"/>
  <c r="F213" i="1"/>
  <c r="G213" i="1"/>
  <c r="A214" i="1"/>
  <c r="B214" i="1"/>
  <c r="C214" i="1"/>
  <c r="D214" i="1"/>
  <c r="E214" i="1"/>
  <c r="F214" i="1"/>
  <c r="G214" i="1"/>
  <c r="A215" i="1"/>
  <c r="B215" i="1"/>
  <c r="C215" i="1"/>
  <c r="D215" i="1"/>
  <c r="E215" i="1"/>
  <c r="F215" i="1"/>
  <c r="G215" i="1"/>
  <c r="A216" i="1"/>
  <c r="B216" i="1"/>
  <c r="C216" i="1"/>
  <c r="D216" i="1"/>
  <c r="E216" i="1"/>
  <c r="F216" i="1"/>
  <c r="G216" i="1"/>
  <c r="A217" i="1"/>
  <c r="B217" i="1"/>
  <c r="C217" i="1"/>
  <c r="D217" i="1"/>
  <c r="E217" i="1"/>
  <c r="F217" i="1"/>
  <c r="G217" i="1"/>
  <c r="A218" i="1"/>
  <c r="B218" i="1"/>
  <c r="C218" i="1"/>
  <c r="D218" i="1"/>
  <c r="E218" i="1"/>
  <c r="F218" i="1"/>
  <c r="G218" i="1"/>
  <c r="A219" i="1"/>
  <c r="B219" i="1"/>
  <c r="C219" i="1"/>
  <c r="D219" i="1"/>
  <c r="E219" i="1"/>
  <c r="F219" i="1"/>
  <c r="G219" i="1"/>
  <c r="A220" i="1"/>
  <c r="B220" i="1"/>
  <c r="C220" i="1"/>
  <c r="D220" i="1"/>
  <c r="E220" i="1"/>
  <c r="F220" i="1"/>
  <c r="G220" i="1"/>
  <c r="A221" i="1"/>
  <c r="B221" i="1"/>
  <c r="C221" i="1"/>
  <c r="D221" i="1"/>
  <c r="E221" i="1"/>
  <c r="F221" i="1"/>
  <c r="G221" i="1"/>
  <c r="A222" i="1"/>
  <c r="B222" i="1"/>
  <c r="C222" i="1"/>
  <c r="D222" i="1"/>
  <c r="E222" i="1"/>
  <c r="F222" i="1"/>
  <c r="G222" i="1"/>
  <c r="A223" i="1"/>
  <c r="B223" i="1"/>
  <c r="C223" i="1"/>
  <c r="D223" i="1"/>
  <c r="E223" i="1"/>
  <c r="F223" i="1"/>
  <c r="G223" i="1"/>
  <c r="A224" i="1"/>
  <c r="B224" i="1"/>
  <c r="C224" i="1"/>
  <c r="D224" i="1"/>
  <c r="E224" i="1"/>
  <c r="F224" i="1"/>
  <c r="G224" i="1"/>
  <c r="A225" i="1"/>
  <c r="B225" i="1"/>
  <c r="C225" i="1"/>
  <c r="D225" i="1"/>
  <c r="E225" i="1"/>
  <c r="F225" i="1"/>
  <c r="G225" i="1"/>
  <c r="A226" i="1"/>
  <c r="B226" i="1"/>
  <c r="C226" i="1"/>
  <c r="D226" i="1"/>
  <c r="E226" i="1"/>
  <c r="F226" i="1"/>
  <c r="G226" i="1"/>
  <c r="A227" i="1"/>
  <c r="B227" i="1"/>
  <c r="C227" i="1"/>
  <c r="D227" i="1"/>
  <c r="E227" i="1"/>
  <c r="F227" i="1"/>
  <c r="G227" i="1"/>
  <c r="A228" i="1"/>
  <c r="B228" i="1"/>
  <c r="C228" i="1"/>
  <c r="D228" i="1"/>
  <c r="E228" i="1"/>
  <c r="F228" i="1"/>
  <c r="G228" i="1"/>
  <c r="A229" i="1"/>
  <c r="B229" i="1"/>
  <c r="C229" i="1"/>
  <c r="D229" i="1"/>
  <c r="E229" i="1"/>
  <c r="F229" i="1"/>
  <c r="G229" i="1"/>
  <c r="A230" i="1"/>
  <c r="B230" i="1"/>
  <c r="C230" i="1"/>
  <c r="D230" i="1"/>
  <c r="E230" i="1"/>
  <c r="F230" i="1"/>
  <c r="G230" i="1"/>
  <c r="A231" i="1"/>
  <c r="B231" i="1"/>
  <c r="C231" i="1"/>
  <c r="D231" i="1"/>
  <c r="E231" i="1"/>
  <c r="F231" i="1"/>
  <c r="G231" i="1"/>
  <c r="A232" i="1"/>
  <c r="B232" i="1"/>
  <c r="C232" i="1"/>
  <c r="D232" i="1"/>
  <c r="E232" i="1"/>
  <c r="F232" i="1"/>
  <c r="G232" i="1"/>
  <c r="A233" i="1"/>
  <c r="B233" i="1"/>
  <c r="C233" i="1"/>
  <c r="D233" i="1"/>
  <c r="E233" i="1"/>
  <c r="F233" i="1"/>
  <c r="G233" i="1"/>
  <c r="A234" i="1"/>
  <c r="B234" i="1"/>
  <c r="C234" i="1"/>
  <c r="D234" i="1"/>
  <c r="E234" i="1"/>
  <c r="F234" i="1"/>
  <c r="G234" i="1"/>
  <c r="A235" i="1"/>
  <c r="B235" i="1"/>
  <c r="C235" i="1"/>
  <c r="D235" i="1"/>
  <c r="E235" i="1"/>
  <c r="F235" i="1"/>
  <c r="G235" i="1"/>
  <c r="A236" i="1"/>
  <c r="B236" i="1"/>
  <c r="C236" i="1"/>
  <c r="D236" i="1"/>
  <c r="E236" i="1"/>
  <c r="F236" i="1"/>
  <c r="G236" i="1"/>
  <c r="A237" i="1"/>
  <c r="B237" i="1"/>
  <c r="C237" i="1"/>
  <c r="D237" i="1"/>
  <c r="E237" i="1"/>
  <c r="F237" i="1"/>
  <c r="G237" i="1"/>
  <c r="A238" i="1"/>
  <c r="B238" i="1"/>
  <c r="C238" i="1"/>
  <c r="D238" i="1"/>
  <c r="E238" i="1"/>
  <c r="F238" i="1"/>
  <c r="G238" i="1"/>
  <c r="A239" i="1"/>
  <c r="B239" i="1"/>
  <c r="C239" i="1"/>
  <c r="D239" i="1"/>
  <c r="E239" i="1"/>
  <c r="F239" i="1"/>
  <c r="G239" i="1"/>
  <c r="A240" i="1"/>
  <c r="B240" i="1"/>
  <c r="C240" i="1"/>
  <c r="D240" i="1"/>
  <c r="E240" i="1"/>
  <c r="F240" i="1"/>
  <c r="G240" i="1"/>
  <c r="A241" i="1"/>
  <c r="B241" i="1"/>
  <c r="C241" i="1"/>
  <c r="D241" i="1"/>
  <c r="E241" i="1"/>
  <c r="F241" i="1"/>
  <c r="G241" i="1"/>
  <c r="A242" i="1"/>
  <c r="B242" i="1"/>
  <c r="C242" i="1"/>
  <c r="D242" i="1"/>
  <c r="E242" i="1"/>
  <c r="F242" i="1"/>
  <c r="G242" i="1"/>
  <c r="A243" i="1"/>
  <c r="B243" i="1"/>
  <c r="C243" i="1"/>
  <c r="D243" i="1"/>
  <c r="E243" i="1"/>
  <c r="F243" i="1"/>
  <c r="G243" i="1"/>
  <c r="A244" i="1"/>
  <c r="B244" i="1"/>
  <c r="C244" i="1"/>
  <c r="D244" i="1"/>
  <c r="E244" i="1"/>
  <c r="F244" i="1"/>
  <c r="G244" i="1"/>
  <c r="A245" i="1"/>
  <c r="B245" i="1"/>
  <c r="C245" i="1"/>
  <c r="D245" i="1"/>
  <c r="E245" i="1"/>
  <c r="F245" i="1"/>
  <c r="G245" i="1"/>
  <c r="A246" i="1"/>
  <c r="B246" i="1"/>
  <c r="C246" i="1"/>
  <c r="D246" i="1"/>
  <c r="E246" i="1"/>
  <c r="F246" i="1"/>
  <c r="G246" i="1"/>
  <c r="A247" i="1"/>
  <c r="B247" i="1"/>
  <c r="C247" i="1"/>
  <c r="D247" i="1"/>
  <c r="E247" i="1"/>
  <c r="F247" i="1"/>
  <c r="G247" i="1"/>
  <c r="A248" i="1"/>
  <c r="B248" i="1"/>
  <c r="C248" i="1"/>
  <c r="D248" i="1"/>
  <c r="E248" i="1"/>
  <c r="F248" i="1"/>
  <c r="G248" i="1"/>
  <c r="A249" i="1"/>
  <c r="B249" i="1"/>
  <c r="C249" i="1"/>
  <c r="D249" i="1"/>
  <c r="E249" i="1"/>
  <c r="F249" i="1"/>
  <c r="G249" i="1"/>
  <c r="A250" i="1"/>
  <c r="B250" i="1"/>
  <c r="C250" i="1"/>
  <c r="D250" i="1"/>
  <c r="E250" i="1"/>
  <c r="F250" i="1"/>
  <c r="G250" i="1"/>
  <c r="A251" i="1"/>
  <c r="B251" i="1"/>
  <c r="C251" i="1"/>
  <c r="D251" i="1"/>
  <c r="E251" i="1"/>
  <c r="F251" i="1"/>
  <c r="G251" i="1"/>
  <c r="A252" i="1"/>
  <c r="B252" i="1"/>
  <c r="C252" i="1"/>
  <c r="D252" i="1"/>
  <c r="E252" i="1"/>
  <c r="F252" i="1"/>
  <c r="G252" i="1"/>
  <c r="A253" i="1"/>
  <c r="B253" i="1"/>
  <c r="C253" i="1"/>
  <c r="D253" i="1"/>
  <c r="E253" i="1"/>
  <c r="F253" i="1"/>
  <c r="G253" i="1"/>
  <c r="A254" i="1"/>
  <c r="B254" i="1"/>
  <c r="C254" i="1"/>
  <c r="D254" i="1"/>
  <c r="E254" i="1"/>
  <c r="F254" i="1"/>
  <c r="G254" i="1"/>
  <c r="A255" i="1"/>
  <c r="B255" i="1"/>
  <c r="C255" i="1"/>
  <c r="D255" i="1"/>
  <c r="E255" i="1"/>
  <c r="F255" i="1"/>
  <c r="G255" i="1"/>
  <c r="A256" i="1"/>
  <c r="B256" i="1"/>
  <c r="C256" i="1"/>
  <c r="D256" i="1"/>
  <c r="E256" i="1"/>
  <c r="F256" i="1"/>
  <c r="G256" i="1"/>
  <c r="A257" i="1"/>
  <c r="B257" i="1"/>
  <c r="C257" i="1"/>
  <c r="D257" i="1"/>
  <c r="E257" i="1"/>
  <c r="F257" i="1"/>
  <c r="G257" i="1"/>
  <c r="A258" i="1"/>
  <c r="B258" i="1"/>
  <c r="C258" i="1"/>
  <c r="D258" i="1"/>
  <c r="E258" i="1"/>
  <c r="F258" i="1"/>
  <c r="G258" i="1"/>
  <c r="A259" i="1"/>
  <c r="B259" i="1"/>
  <c r="C259" i="1"/>
  <c r="D259" i="1"/>
  <c r="E259" i="1"/>
  <c r="F259" i="1"/>
  <c r="G259" i="1"/>
  <c r="A260" i="1"/>
  <c r="B260" i="1"/>
  <c r="C260" i="1"/>
  <c r="D260" i="1"/>
  <c r="E260" i="1"/>
  <c r="F260" i="1"/>
  <c r="G260" i="1"/>
  <c r="A261" i="1"/>
  <c r="B261" i="1"/>
  <c r="C261" i="1"/>
  <c r="D261" i="1"/>
  <c r="E261" i="1"/>
  <c r="F261" i="1"/>
  <c r="G261" i="1"/>
  <c r="A262" i="1"/>
  <c r="B262" i="1"/>
  <c r="C262" i="1"/>
  <c r="D262" i="1"/>
  <c r="E262" i="1"/>
  <c r="F262" i="1"/>
  <c r="G262" i="1"/>
  <c r="A263" i="1"/>
  <c r="B263" i="1"/>
  <c r="C263" i="1"/>
  <c r="D263" i="1"/>
  <c r="E263" i="1"/>
  <c r="F263" i="1"/>
  <c r="G263" i="1"/>
  <c r="A264" i="1"/>
  <c r="B264" i="1"/>
  <c r="C264" i="1"/>
  <c r="D264" i="1"/>
  <c r="E264" i="1"/>
  <c r="F264" i="1"/>
  <c r="G264" i="1"/>
  <c r="A265" i="1"/>
  <c r="B265" i="1"/>
  <c r="C265" i="1"/>
  <c r="D265" i="1"/>
  <c r="E265" i="1"/>
  <c r="F265" i="1"/>
  <c r="G265" i="1"/>
  <c r="A266" i="1"/>
  <c r="B266" i="1"/>
  <c r="C266" i="1"/>
  <c r="D266" i="1"/>
  <c r="E266" i="1"/>
  <c r="F266" i="1"/>
  <c r="G266" i="1"/>
  <c r="A267" i="1"/>
  <c r="B267" i="1"/>
  <c r="C267" i="1"/>
  <c r="D267" i="1"/>
  <c r="E267" i="1"/>
  <c r="F267" i="1"/>
  <c r="G267" i="1"/>
  <c r="A268" i="1"/>
  <c r="B268" i="1"/>
  <c r="C268" i="1"/>
  <c r="D268" i="1"/>
  <c r="E268" i="1"/>
  <c r="F268" i="1"/>
  <c r="G268" i="1"/>
  <c r="A269" i="1"/>
  <c r="B269" i="1"/>
  <c r="C269" i="1"/>
  <c r="D269" i="1"/>
  <c r="E269" i="1"/>
  <c r="F269" i="1"/>
  <c r="G269" i="1"/>
  <c r="A270" i="1"/>
  <c r="B270" i="1"/>
  <c r="C270" i="1"/>
  <c r="D270" i="1"/>
  <c r="E270" i="1"/>
  <c r="F270" i="1"/>
  <c r="G270" i="1"/>
  <c r="A271" i="1"/>
  <c r="B271" i="1"/>
  <c r="C271" i="1"/>
  <c r="D271" i="1"/>
  <c r="E271" i="1"/>
  <c r="F271" i="1"/>
  <c r="G271" i="1"/>
  <c r="A272" i="1"/>
  <c r="B272" i="1"/>
  <c r="C272" i="1"/>
  <c r="D272" i="1"/>
  <c r="E272" i="1"/>
  <c r="F272" i="1"/>
  <c r="G272" i="1"/>
  <c r="A273" i="1"/>
  <c r="B273" i="1"/>
  <c r="C273" i="1"/>
  <c r="D273" i="1"/>
  <c r="E273" i="1"/>
  <c r="F273" i="1"/>
  <c r="G273" i="1"/>
  <c r="A274" i="1"/>
  <c r="B274" i="1"/>
  <c r="C274" i="1"/>
  <c r="D274" i="1"/>
  <c r="E274" i="1"/>
  <c r="F274" i="1"/>
  <c r="G274" i="1"/>
  <c r="A275" i="1"/>
  <c r="B275" i="1"/>
  <c r="C275" i="1"/>
  <c r="D275" i="1"/>
  <c r="E275" i="1"/>
  <c r="F275" i="1"/>
  <c r="G275" i="1"/>
  <c r="A276" i="1"/>
  <c r="B276" i="1"/>
  <c r="C276" i="1"/>
  <c r="D276" i="1"/>
  <c r="E276" i="1"/>
  <c r="F276" i="1"/>
  <c r="G276" i="1"/>
  <c r="A277" i="1"/>
  <c r="B277" i="1"/>
  <c r="C277" i="1"/>
  <c r="D277" i="1"/>
  <c r="E277" i="1"/>
  <c r="F277" i="1"/>
  <c r="G277" i="1"/>
  <c r="A278" i="1"/>
  <c r="B278" i="1"/>
  <c r="C278" i="1"/>
  <c r="D278" i="1"/>
  <c r="E278" i="1"/>
  <c r="F278" i="1"/>
  <c r="G278" i="1"/>
  <c r="A279" i="1"/>
  <c r="B279" i="1"/>
  <c r="C279" i="1"/>
  <c r="D279" i="1"/>
  <c r="E279" i="1"/>
  <c r="F279" i="1"/>
  <c r="G279" i="1"/>
  <c r="A280" i="1"/>
  <c r="B280" i="1"/>
  <c r="C280" i="1"/>
  <c r="D280" i="1"/>
  <c r="E280" i="1"/>
  <c r="F280" i="1"/>
  <c r="G280" i="1"/>
  <c r="A281" i="1"/>
  <c r="B281" i="1"/>
  <c r="C281" i="1"/>
  <c r="D281" i="1"/>
  <c r="E281" i="1"/>
  <c r="F281" i="1"/>
  <c r="G281" i="1"/>
  <c r="A282" i="1"/>
  <c r="B282" i="1"/>
  <c r="C282" i="1"/>
  <c r="D282" i="1"/>
  <c r="E282" i="1"/>
  <c r="F282" i="1"/>
  <c r="G282" i="1"/>
  <c r="A283" i="1"/>
  <c r="B283" i="1"/>
  <c r="C283" i="1"/>
  <c r="D283" i="1"/>
  <c r="E283" i="1"/>
  <c r="F283" i="1"/>
  <c r="G283" i="1"/>
  <c r="A284" i="1"/>
  <c r="B284" i="1"/>
  <c r="C284" i="1"/>
  <c r="D284" i="1"/>
  <c r="E284" i="1"/>
  <c r="F284" i="1"/>
  <c r="G284" i="1"/>
  <c r="A285" i="1"/>
  <c r="B285" i="1"/>
  <c r="C285" i="1"/>
  <c r="D285" i="1"/>
  <c r="E285" i="1"/>
  <c r="F285" i="1"/>
  <c r="G285" i="1"/>
  <c r="A286" i="1"/>
  <c r="B286" i="1"/>
  <c r="C286" i="1"/>
  <c r="D286" i="1"/>
  <c r="E286" i="1"/>
  <c r="F286" i="1"/>
  <c r="G286" i="1"/>
  <c r="A287" i="1"/>
  <c r="B287" i="1"/>
  <c r="C287" i="1"/>
  <c r="D287" i="1"/>
  <c r="E287" i="1"/>
  <c r="F287" i="1"/>
  <c r="G287" i="1"/>
  <c r="A288" i="1"/>
  <c r="B288" i="1"/>
  <c r="C288" i="1"/>
  <c r="D288" i="1"/>
  <c r="E288" i="1"/>
  <c r="F288" i="1"/>
  <c r="G288" i="1"/>
  <c r="A289" i="1"/>
  <c r="B289" i="1"/>
  <c r="C289" i="1"/>
  <c r="D289" i="1"/>
  <c r="E289" i="1"/>
  <c r="F289" i="1"/>
  <c r="G289" i="1"/>
  <c r="A290" i="1"/>
  <c r="B290" i="1"/>
  <c r="C290" i="1"/>
  <c r="D290" i="1"/>
  <c r="E290" i="1"/>
  <c r="F290" i="1"/>
  <c r="G290" i="1"/>
  <c r="A291" i="1"/>
  <c r="B291" i="1"/>
  <c r="C291" i="1"/>
  <c r="D291" i="1"/>
  <c r="E291" i="1"/>
  <c r="F291" i="1"/>
  <c r="G291" i="1"/>
  <c r="A292" i="1"/>
  <c r="B292" i="1"/>
  <c r="C292" i="1"/>
  <c r="D292" i="1"/>
  <c r="E292" i="1"/>
  <c r="F292" i="1"/>
  <c r="G292" i="1"/>
  <c r="A293" i="1"/>
  <c r="B293" i="1"/>
  <c r="C293" i="1"/>
  <c r="D293" i="1"/>
  <c r="E293" i="1"/>
  <c r="F293" i="1"/>
  <c r="G293" i="1"/>
  <c r="A294" i="1"/>
  <c r="B294" i="1"/>
  <c r="C294" i="1"/>
  <c r="D294" i="1"/>
  <c r="E294" i="1"/>
  <c r="F294" i="1"/>
  <c r="G294" i="1"/>
  <c r="A295" i="1"/>
  <c r="B295" i="1"/>
  <c r="C295" i="1"/>
  <c r="D295" i="1"/>
  <c r="E295" i="1"/>
  <c r="F295" i="1"/>
  <c r="G295" i="1"/>
  <c r="A296" i="1"/>
  <c r="B296" i="1"/>
  <c r="C296" i="1"/>
  <c r="D296" i="1"/>
  <c r="E296" i="1"/>
  <c r="F296" i="1"/>
  <c r="G296" i="1"/>
  <c r="A297" i="1"/>
  <c r="B297" i="1"/>
  <c r="C297" i="1"/>
  <c r="D297" i="1"/>
  <c r="E297" i="1"/>
  <c r="F297" i="1"/>
  <c r="G297" i="1"/>
  <c r="A298" i="1"/>
  <c r="B298" i="1"/>
  <c r="C298" i="1"/>
  <c r="D298" i="1"/>
  <c r="E298" i="1"/>
  <c r="F298" i="1"/>
  <c r="G298" i="1"/>
  <c r="A299" i="1"/>
  <c r="B299" i="1"/>
  <c r="C299" i="1"/>
  <c r="D299" i="1"/>
  <c r="E299" i="1"/>
  <c r="F299" i="1"/>
  <c r="G299" i="1"/>
  <c r="A300" i="1"/>
  <c r="B300" i="1"/>
  <c r="C300" i="1"/>
  <c r="D300" i="1"/>
  <c r="E300" i="1"/>
  <c r="F300" i="1"/>
  <c r="G300" i="1"/>
  <c r="A301" i="1"/>
  <c r="B301" i="1"/>
  <c r="C301" i="1"/>
  <c r="D301" i="1"/>
  <c r="E301" i="1"/>
  <c r="F301" i="1"/>
  <c r="G301" i="1"/>
  <c r="A302" i="1"/>
  <c r="B302" i="1"/>
  <c r="C302" i="1"/>
  <c r="D302" i="1"/>
  <c r="E302" i="1"/>
  <c r="F302" i="1"/>
  <c r="G302" i="1"/>
  <c r="A303" i="1"/>
  <c r="B303" i="1"/>
  <c r="C303" i="1"/>
  <c r="D303" i="1"/>
  <c r="E303" i="1"/>
  <c r="F303" i="1"/>
  <c r="G303" i="1"/>
  <c r="A304" i="1"/>
  <c r="B304" i="1"/>
  <c r="C304" i="1"/>
  <c r="D304" i="1"/>
  <c r="E304" i="1"/>
  <c r="F304" i="1"/>
  <c r="G304" i="1"/>
  <c r="A305" i="1"/>
  <c r="B305" i="1"/>
  <c r="C305" i="1"/>
  <c r="D305" i="1"/>
  <c r="E305" i="1"/>
  <c r="F305" i="1"/>
  <c r="G305" i="1"/>
  <c r="A306" i="1"/>
  <c r="B306" i="1"/>
  <c r="C306" i="1"/>
  <c r="D306" i="1"/>
  <c r="E306" i="1"/>
  <c r="F306" i="1"/>
  <c r="G306" i="1"/>
  <c r="A307" i="1"/>
  <c r="B307" i="1"/>
  <c r="C307" i="1"/>
  <c r="D307" i="1"/>
  <c r="E307" i="1"/>
  <c r="F307" i="1"/>
  <c r="G307" i="1"/>
  <c r="A308" i="1"/>
  <c r="B308" i="1"/>
  <c r="C308" i="1"/>
  <c r="D308" i="1"/>
  <c r="E308" i="1"/>
  <c r="F308" i="1"/>
  <c r="G308" i="1"/>
  <c r="A309" i="1"/>
  <c r="B309" i="1"/>
  <c r="C309" i="1"/>
  <c r="D309" i="1"/>
  <c r="E309" i="1"/>
  <c r="F309" i="1"/>
  <c r="G309" i="1"/>
  <c r="A310" i="1"/>
  <c r="B310" i="1"/>
  <c r="C310" i="1"/>
  <c r="D310" i="1"/>
  <c r="E310" i="1"/>
  <c r="F310" i="1"/>
  <c r="G310" i="1"/>
  <c r="A311" i="1"/>
  <c r="B311" i="1"/>
  <c r="C311" i="1"/>
  <c r="D311" i="1"/>
  <c r="E311" i="1"/>
  <c r="F311" i="1"/>
  <c r="G311" i="1"/>
  <c r="A312" i="1"/>
  <c r="B312" i="1"/>
  <c r="C312" i="1"/>
  <c r="D312" i="1"/>
  <c r="E312" i="1"/>
  <c r="F312" i="1"/>
  <c r="G312" i="1"/>
  <c r="A313" i="1"/>
  <c r="B313" i="1"/>
  <c r="C313" i="1"/>
  <c r="D313" i="1"/>
  <c r="E313" i="1"/>
  <c r="F313" i="1"/>
  <c r="G313" i="1"/>
  <c r="A314" i="1"/>
  <c r="B314" i="1"/>
  <c r="C314" i="1"/>
  <c r="D314" i="1"/>
  <c r="E314" i="1"/>
  <c r="F314" i="1"/>
  <c r="G314" i="1"/>
  <c r="A315" i="1"/>
  <c r="B315" i="1"/>
  <c r="C315" i="1"/>
  <c r="D315" i="1"/>
  <c r="E315" i="1"/>
  <c r="F315" i="1"/>
  <c r="G315" i="1"/>
  <c r="A316" i="1"/>
  <c r="B316" i="1"/>
  <c r="C316" i="1"/>
  <c r="D316" i="1"/>
  <c r="E316" i="1"/>
  <c r="F316" i="1"/>
  <c r="G316" i="1"/>
  <c r="A317" i="1"/>
  <c r="B317" i="1"/>
  <c r="C317" i="1"/>
  <c r="D317" i="1"/>
  <c r="E317" i="1"/>
  <c r="F317" i="1"/>
  <c r="G317" i="1"/>
  <c r="A318" i="1"/>
  <c r="B318" i="1"/>
  <c r="C318" i="1"/>
  <c r="D318" i="1"/>
  <c r="E318" i="1"/>
  <c r="F318" i="1"/>
  <c r="G318" i="1"/>
  <c r="A319" i="1"/>
  <c r="B319" i="1"/>
  <c r="C319" i="1"/>
  <c r="D319" i="1"/>
  <c r="E319" i="1"/>
  <c r="F319" i="1"/>
  <c r="G319" i="1"/>
  <c r="A320" i="1"/>
  <c r="B320" i="1"/>
  <c r="C320" i="1"/>
  <c r="D320" i="1"/>
  <c r="E320" i="1"/>
  <c r="F320" i="1"/>
  <c r="G320" i="1"/>
  <c r="A321" i="1"/>
  <c r="B321" i="1"/>
  <c r="C321" i="1"/>
  <c r="D321" i="1"/>
  <c r="E321" i="1"/>
  <c r="F321" i="1"/>
  <c r="G321" i="1"/>
  <c r="A322" i="1"/>
  <c r="B322" i="1"/>
  <c r="C322" i="1"/>
  <c r="D322" i="1"/>
  <c r="E322" i="1"/>
  <c r="F322" i="1"/>
  <c r="G322" i="1"/>
  <c r="A323" i="1"/>
  <c r="B323" i="1"/>
  <c r="C323" i="1"/>
  <c r="D323" i="1"/>
  <c r="E323" i="1"/>
  <c r="F323" i="1"/>
  <c r="G323" i="1"/>
  <c r="A324" i="1"/>
  <c r="B324" i="1"/>
  <c r="C324" i="1"/>
  <c r="D324" i="1"/>
  <c r="E324" i="1"/>
  <c r="F324" i="1"/>
  <c r="G324" i="1"/>
  <c r="A325" i="1"/>
  <c r="B325" i="1"/>
  <c r="C325" i="1"/>
  <c r="D325" i="1"/>
  <c r="E325" i="1"/>
  <c r="F325" i="1"/>
  <c r="G325" i="1"/>
  <c r="A326" i="1"/>
  <c r="B326" i="1"/>
  <c r="C326" i="1"/>
  <c r="D326" i="1"/>
  <c r="E326" i="1"/>
  <c r="F326" i="1"/>
  <c r="G326" i="1"/>
  <c r="A327" i="1"/>
  <c r="B327" i="1"/>
  <c r="C327" i="1"/>
  <c r="D327" i="1"/>
  <c r="E327" i="1"/>
  <c r="F327" i="1"/>
  <c r="G327" i="1"/>
  <c r="A328" i="1"/>
  <c r="B328" i="1"/>
  <c r="C328" i="1"/>
  <c r="D328" i="1"/>
  <c r="E328" i="1"/>
  <c r="F328" i="1"/>
  <c r="G328" i="1"/>
  <c r="A329" i="1"/>
  <c r="B329" i="1"/>
  <c r="C329" i="1"/>
  <c r="D329" i="1"/>
  <c r="E329" i="1"/>
  <c r="F329" i="1"/>
  <c r="G329" i="1"/>
  <c r="A330" i="1"/>
  <c r="B330" i="1"/>
  <c r="C330" i="1"/>
  <c r="D330" i="1"/>
  <c r="E330" i="1"/>
  <c r="F330" i="1"/>
  <c r="G330" i="1"/>
  <c r="A331" i="1"/>
  <c r="B331" i="1"/>
  <c r="C331" i="1"/>
  <c r="D331" i="1"/>
  <c r="E331" i="1"/>
  <c r="F331" i="1"/>
  <c r="G331" i="1"/>
  <c r="A332" i="1"/>
  <c r="B332" i="1"/>
  <c r="C332" i="1"/>
  <c r="D332" i="1"/>
  <c r="E332" i="1"/>
  <c r="F332" i="1"/>
  <c r="G332" i="1"/>
  <c r="A333" i="1"/>
  <c r="B333" i="1"/>
  <c r="C333" i="1"/>
  <c r="D333" i="1"/>
  <c r="E333" i="1"/>
  <c r="F333" i="1"/>
  <c r="G333" i="1"/>
  <c r="A334" i="1"/>
  <c r="B334" i="1"/>
  <c r="C334" i="1"/>
  <c r="D334" i="1"/>
  <c r="E334" i="1"/>
  <c r="F334" i="1"/>
  <c r="G334" i="1"/>
  <c r="A335" i="1"/>
  <c r="B335" i="1"/>
  <c r="C335" i="1"/>
  <c r="D335" i="1"/>
  <c r="E335" i="1"/>
  <c r="F335" i="1"/>
  <c r="G335" i="1"/>
  <c r="A336" i="1"/>
  <c r="B336" i="1"/>
  <c r="C336" i="1"/>
  <c r="D336" i="1"/>
  <c r="E336" i="1"/>
  <c r="F336" i="1"/>
  <c r="G336" i="1"/>
  <c r="A337" i="1"/>
  <c r="B337" i="1"/>
  <c r="C337" i="1"/>
  <c r="D337" i="1"/>
  <c r="E337" i="1"/>
  <c r="F337" i="1"/>
  <c r="G337" i="1"/>
  <c r="A338" i="1"/>
  <c r="B338" i="1"/>
  <c r="C338" i="1"/>
  <c r="D338" i="1"/>
  <c r="E338" i="1"/>
  <c r="F338" i="1"/>
  <c r="G338" i="1"/>
  <c r="A339" i="1"/>
  <c r="B339" i="1"/>
  <c r="C339" i="1"/>
  <c r="D339" i="1"/>
  <c r="E339" i="1"/>
  <c r="F339" i="1"/>
  <c r="G339" i="1"/>
  <c r="A340" i="1"/>
  <c r="B340" i="1"/>
  <c r="C340" i="1"/>
  <c r="D340" i="1"/>
  <c r="E340" i="1"/>
  <c r="F340" i="1"/>
  <c r="G340" i="1"/>
  <c r="A341" i="1"/>
  <c r="B341" i="1"/>
  <c r="C341" i="1"/>
  <c r="D341" i="1"/>
  <c r="E341" i="1"/>
  <c r="F341" i="1"/>
  <c r="G341" i="1"/>
  <c r="A342" i="1"/>
  <c r="B342" i="1"/>
  <c r="C342" i="1"/>
  <c r="D342" i="1"/>
  <c r="E342" i="1"/>
  <c r="F342" i="1"/>
  <c r="G342" i="1"/>
  <c r="A343" i="1"/>
  <c r="B343" i="1"/>
  <c r="C343" i="1"/>
  <c r="D343" i="1"/>
  <c r="E343" i="1"/>
  <c r="F343" i="1"/>
  <c r="G343" i="1"/>
  <c r="A344" i="1"/>
  <c r="B344" i="1"/>
  <c r="C344" i="1"/>
  <c r="D344" i="1"/>
  <c r="E344" i="1"/>
  <c r="F344" i="1"/>
  <c r="G344" i="1"/>
  <c r="A345" i="1"/>
  <c r="B345" i="1"/>
  <c r="C345" i="1"/>
  <c r="D345" i="1"/>
  <c r="E345" i="1"/>
  <c r="F345" i="1"/>
  <c r="G345" i="1"/>
  <c r="A346" i="1"/>
  <c r="B346" i="1"/>
  <c r="C346" i="1"/>
  <c r="D346" i="1"/>
  <c r="E346" i="1"/>
  <c r="F346" i="1"/>
  <c r="G346" i="1"/>
  <c r="A347" i="1"/>
  <c r="B347" i="1"/>
  <c r="C347" i="1"/>
  <c r="D347" i="1"/>
  <c r="E347" i="1"/>
  <c r="F347" i="1"/>
  <c r="G347" i="1"/>
  <c r="A348" i="1"/>
  <c r="B348" i="1"/>
  <c r="C348" i="1"/>
  <c r="D348" i="1"/>
  <c r="E348" i="1"/>
  <c r="F348" i="1"/>
  <c r="G348" i="1"/>
  <c r="A349" i="1"/>
  <c r="B349" i="1"/>
  <c r="C349" i="1"/>
  <c r="D349" i="1"/>
  <c r="E349" i="1"/>
  <c r="F349" i="1"/>
  <c r="G349" i="1"/>
  <c r="A350" i="1"/>
  <c r="B350" i="1"/>
  <c r="C350" i="1"/>
  <c r="D350" i="1"/>
  <c r="E350" i="1"/>
  <c r="F350" i="1"/>
  <c r="G350" i="1"/>
  <c r="A351" i="1"/>
  <c r="B351" i="1"/>
  <c r="C351" i="1"/>
  <c r="D351" i="1"/>
  <c r="E351" i="1"/>
  <c r="F351" i="1"/>
  <c r="G351" i="1"/>
  <c r="A352" i="1"/>
  <c r="B352" i="1"/>
  <c r="C352" i="1"/>
  <c r="D352" i="1"/>
  <c r="E352" i="1"/>
  <c r="F352" i="1"/>
  <c r="G352" i="1"/>
  <c r="A353" i="1"/>
  <c r="B353" i="1"/>
  <c r="C353" i="1"/>
  <c r="D353" i="1"/>
  <c r="E353" i="1"/>
  <c r="F353" i="1"/>
  <c r="G353" i="1"/>
  <c r="A354" i="1"/>
  <c r="B354" i="1"/>
  <c r="C354" i="1"/>
  <c r="D354" i="1"/>
  <c r="E354" i="1"/>
  <c r="F354" i="1"/>
  <c r="G354" i="1"/>
  <c r="A355" i="1"/>
  <c r="B355" i="1"/>
  <c r="C355" i="1"/>
  <c r="D355" i="1"/>
  <c r="E355" i="1"/>
  <c r="F355" i="1"/>
  <c r="G355" i="1"/>
  <c r="A356" i="1"/>
  <c r="B356" i="1"/>
  <c r="C356" i="1"/>
  <c r="D356" i="1"/>
  <c r="E356" i="1"/>
  <c r="F356" i="1"/>
  <c r="G356" i="1"/>
  <c r="A357" i="1"/>
  <c r="B357" i="1"/>
  <c r="C357" i="1"/>
  <c r="D357" i="1"/>
  <c r="E357" i="1"/>
  <c r="F357" i="1"/>
  <c r="G357" i="1"/>
  <c r="A358" i="1"/>
  <c r="B358" i="1"/>
  <c r="C358" i="1"/>
  <c r="D358" i="1"/>
  <c r="E358" i="1"/>
  <c r="F358" i="1"/>
  <c r="G358" i="1"/>
  <c r="A359" i="1"/>
  <c r="B359" i="1"/>
  <c r="C359" i="1"/>
  <c r="D359" i="1"/>
  <c r="E359" i="1"/>
  <c r="F359" i="1"/>
  <c r="G359" i="1"/>
  <c r="A360" i="1"/>
  <c r="B360" i="1"/>
  <c r="C360" i="1"/>
  <c r="D360" i="1"/>
  <c r="E360" i="1"/>
  <c r="F360" i="1"/>
  <c r="G360" i="1"/>
  <c r="A361" i="1"/>
  <c r="B361" i="1"/>
  <c r="C361" i="1"/>
  <c r="D361" i="1"/>
  <c r="E361" i="1"/>
  <c r="F361" i="1"/>
  <c r="G361" i="1"/>
  <c r="A362" i="1"/>
  <c r="B362" i="1"/>
  <c r="C362" i="1"/>
  <c r="D362" i="1"/>
  <c r="E362" i="1"/>
  <c r="F362" i="1"/>
  <c r="G362" i="1"/>
  <c r="A363" i="1"/>
  <c r="B363" i="1"/>
  <c r="C363" i="1"/>
  <c r="D363" i="1"/>
  <c r="E363" i="1"/>
  <c r="F363" i="1"/>
  <c r="G363" i="1"/>
  <c r="A364" i="1"/>
  <c r="B364" i="1"/>
  <c r="C364" i="1"/>
  <c r="D364" i="1"/>
  <c r="E364" i="1"/>
  <c r="F364" i="1"/>
  <c r="G364" i="1"/>
  <c r="A365" i="1"/>
  <c r="B365" i="1"/>
  <c r="C365" i="1"/>
  <c r="D365" i="1"/>
  <c r="E365" i="1"/>
  <c r="F365" i="1"/>
  <c r="G365" i="1"/>
  <c r="A366" i="1"/>
  <c r="B366" i="1"/>
  <c r="C366" i="1"/>
  <c r="D366" i="1"/>
  <c r="E366" i="1"/>
  <c r="F366" i="1"/>
  <c r="G366" i="1"/>
  <c r="A367" i="1"/>
  <c r="B367" i="1"/>
  <c r="C367" i="1"/>
  <c r="D367" i="1"/>
  <c r="E367" i="1"/>
  <c r="F367" i="1"/>
  <c r="G367" i="1"/>
  <c r="A368" i="1"/>
  <c r="B368" i="1"/>
  <c r="C368" i="1"/>
  <c r="D368" i="1"/>
  <c r="E368" i="1"/>
  <c r="F368" i="1"/>
  <c r="G368" i="1"/>
  <c r="A369" i="1"/>
  <c r="B369" i="1"/>
  <c r="C369" i="1"/>
  <c r="D369" i="1"/>
  <c r="E369" i="1"/>
  <c r="F369" i="1"/>
  <c r="G369" i="1"/>
  <c r="A370" i="1"/>
  <c r="B370" i="1"/>
  <c r="C370" i="1"/>
  <c r="D370" i="1"/>
  <c r="E370" i="1"/>
  <c r="F370" i="1"/>
  <c r="G370" i="1"/>
  <c r="A371" i="1"/>
  <c r="B371" i="1"/>
  <c r="C371" i="1"/>
  <c r="D371" i="1"/>
  <c r="E371" i="1"/>
  <c r="F371" i="1"/>
  <c r="G371" i="1"/>
  <c r="A372" i="1"/>
  <c r="B372" i="1"/>
  <c r="C372" i="1"/>
  <c r="D372" i="1"/>
  <c r="E372" i="1"/>
  <c r="F372" i="1"/>
  <c r="G372" i="1"/>
  <c r="A373" i="1"/>
  <c r="B373" i="1"/>
  <c r="C373" i="1"/>
  <c r="D373" i="1"/>
  <c r="E373" i="1"/>
  <c r="F373" i="1"/>
  <c r="G373" i="1"/>
  <c r="A374" i="1"/>
  <c r="B374" i="1"/>
  <c r="C374" i="1"/>
  <c r="D374" i="1"/>
  <c r="E374" i="1"/>
  <c r="F374" i="1"/>
  <c r="G374" i="1"/>
  <c r="A375" i="1"/>
  <c r="B375" i="1"/>
  <c r="C375" i="1"/>
  <c r="D375" i="1"/>
  <c r="E375" i="1"/>
  <c r="F375" i="1"/>
  <c r="G375" i="1"/>
  <c r="A376" i="1"/>
  <c r="B376" i="1"/>
  <c r="C376" i="1"/>
  <c r="D376" i="1"/>
  <c r="E376" i="1"/>
  <c r="F376" i="1"/>
  <c r="G376" i="1"/>
  <c r="A377" i="1"/>
  <c r="B377" i="1"/>
  <c r="C377" i="1"/>
  <c r="D377" i="1"/>
  <c r="E377" i="1"/>
  <c r="F377" i="1"/>
  <c r="G377" i="1"/>
  <c r="A378" i="1"/>
  <c r="B378" i="1"/>
  <c r="C378" i="1"/>
  <c r="D378" i="1"/>
  <c r="E378" i="1"/>
  <c r="F378" i="1"/>
  <c r="G378" i="1"/>
  <c r="A379" i="1"/>
  <c r="B379" i="1"/>
  <c r="C379" i="1"/>
  <c r="D379" i="1"/>
  <c r="E379" i="1"/>
  <c r="F379" i="1"/>
  <c r="G379" i="1"/>
  <c r="A380" i="1"/>
  <c r="B380" i="1"/>
  <c r="C380" i="1"/>
  <c r="D380" i="1"/>
  <c r="E380" i="1"/>
  <c r="F380" i="1"/>
  <c r="G380" i="1"/>
  <c r="A381" i="1"/>
  <c r="B381" i="1"/>
  <c r="C381" i="1"/>
  <c r="D381" i="1"/>
  <c r="E381" i="1"/>
  <c r="F381" i="1"/>
  <c r="G381" i="1"/>
  <c r="A382" i="1"/>
  <c r="B382" i="1"/>
  <c r="C382" i="1"/>
  <c r="D382" i="1"/>
  <c r="E382" i="1"/>
  <c r="F382" i="1"/>
  <c r="G382" i="1"/>
  <c r="A383" i="1"/>
  <c r="B383" i="1"/>
  <c r="C383" i="1"/>
  <c r="D383" i="1"/>
  <c r="E383" i="1"/>
  <c r="F383" i="1"/>
  <c r="G383" i="1"/>
  <c r="A384" i="1"/>
  <c r="B384" i="1"/>
  <c r="C384" i="1"/>
  <c r="D384" i="1"/>
  <c r="E384" i="1"/>
  <c r="F384" i="1"/>
  <c r="G384" i="1"/>
  <c r="A385" i="1"/>
  <c r="B385" i="1"/>
  <c r="C385" i="1"/>
  <c r="D385" i="1"/>
  <c r="E385" i="1"/>
  <c r="F385" i="1"/>
  <c r="G385" i="1"/>
  <c r="A386" i="1"/>
  <c r="B386" i="1"/>
  <c r="C386" i="1"/>
  <c r="D386" i="1"/>
  <c r="E386" i="1"/>
  <c r="F386" i="1"/>
  <c r="G386" i="1"/>
  <c r="A387" i="1"/>
  <c r="B387" i="1"/>
  <c r="C387" i="1"/>
  <c r="D387" i="1"/>
  <c r="E387" i="1"/>
  <c r="F387" i="1"/>
  <c r="G387" i="1"/>
  <c r="A388" i="1"/>
  <c r="B388" i="1"/>
  <c r="C388" i="1"/>
  <c r="D388" i="1"/>
  <c r="E388" i="1"/>
  <c r="F388" i="1"/>
  <c r="G388" i="1"/>
  <c r="A389" i="1"/>
  <c r="B389" i="1"/>
  <c r="C389" i="1"/>
  <c r="D389" i="1"/>
  <c r="E389" i="1"/>
  <c r="F389" i="1"/>
  <c r="G389" i="1"/>
  <c r="A390" i="1"/>
  <c r="B390" i="1"/>
  <c r="C390" i="1"/>
  <c r="D390" i="1"/>
  <c r="E390" i="1"/>
  <c r="F390" i="1"/>
  <c r="G390" i="1"/>
  <c r="A391" i="1"/>
  <c r="B391" i="1"/>
  <c r="C391" i="1"/>
  <c r="D391" i="1"/>
  <c r="E391" i="1"/>
  <c r="F391" i="1"/>
  <c r="G391" i="1"/>
  <c r="A392" i="1"/>
  <c r="B392" i="1"/>
  <c r="C392" i="1"/>
  <c r="D392" i="1"/>
  <c r="E392" i="1"/>
  <c r="F392" i="1"/>
  <c r="G392" i="1"/>
  <c r="A393" i="1"/>
  <c r="B393" i="1"/>
  <c r="C393" i="1"/>
  <c r="D393" i="1"/>
  <c r="E393" i="1"/>
  <c r="F393" i="1"/>
  <c r="G393" i="1"/>
  <c r="A394" i="1"/>
  <c r="B394" i="1"/>
  <c r="C394" i="1"/>
  <c r="D394" i="1"/>
  <c r="E394" i="1"/>
  <c r="F394" i="1"/>
  <c r="G394" i="1"/>
  <c r="A395" i="1"/>
  <c r="B395" i="1"/>
  <c r="C395" i="1"/>
  <c r="D395" i="1"/>
  <c r="E395" i="1"/>
  <c r="F395" i="1"/>
  <c r="G395" i="1"/>
  <c r="A396" i="1"/>
  <c r="B396" i="1"/>
  <c r="C396" i="1"/>
  <c r="D396" i="1"/>
  <c r="E396" i="1"/>
  <c r="F396" i="1"/>
  <c r="G396" i="1"/>
  <c r="A397" i="1"/>
  <c r="B397" i="1"/>
  <c r="C397" i="1"/>
  <c r="D397" i="1"/>
  <c r="E397" i="1"/>
  <c r="F397" i="1"/>
  <c r="G397" i="1"/>
  <c r="A398" i="1"/>
  <c r="B398" i="1"/>
  <c r="C398" i="1"/>
  <c r="D398" i="1"/>
  <c r="E398" i="1"/>
  <c r="F398" i="1"/>
  <c r="G398" i="1"/>
  <c r="A399" i="1"/>
  <c r="B399" i="1"/>
  <c r="C399" i="1"/>
  <c r="D399" i="1"/>
  <c r="E399" i="1"/>
  <c r="F399" i="1"/>
  <c r="G399" i="1"/>
  <c r="A400" i="1"/>
  <c r="B400" i="1"/>
  <c r="C400" i="1"/>
  <c r="D400" i="1"/>
  <c r="E400" i="1"/>
  <c r="F400" i="1"/>
  <c r="G400" i="1"/>
  <c r="A401" i="1"/>
  <c r="B401" i="1"/>
  <c r="C401" i="1"/>
  <c r="D401" i="1"/>
  <c r="E401" i="1"/>
  <c r="F401" i="1"/>
  <c r="G401" i="1"/>
  <c r="A402" i="1"/>
  <c r="B402" i="1"/>
  <c r="C402" i="1"/>
  <c r="D402" i="1"/>
  <c r="E402" i="1"/>
  <c r="F402" i="1"/>
  <c r="G402" i="1"/>
  <c r="A403" i="1"/>
  <c r="B403" i="1"/>
  <c r="C403" i="1"/>
  <c r="D403" i="1"/>
  <c r="E403" i="1"/>
  <c r="F403" i="1"/>
  <c r="G403" i="1"/>
  <c r="A404" i="1"/>
  <c r="B404" i="1"/>
  <c r="C404" i="1"/>
  <c r="D404" i="1"/>
  <c r="E404" i="1"/>
  <c r="F404" i="1"/>
  <c r="G404" i="1"/>
  <c r="A405" i="1"/>
  <c r="B405" i="1"/>
  <c r="C405" i="1"/>
  <c r="D405" i="1"/>
  <c r="E405" i="1"/>
  <c r="F405" i="1"/>
  <c r="G405" i="1"/>
  <c r="A406" i="1"/>
  <c r="B406" i="1"/>
  <c r="C406" i="1"/>
  <c r="D406" i="1"/>
  <c r="E406" i="1"/>
  <c r="F406" i="1"/>
  <c r="G406" i="1"/>
  <c r="A407" i="1"/>
  <c r="B407" i="1"/>
  <c r="C407" i="1"/>
  <c r="D407" i="1"/>
  <c r="E407" i="1"/>
  <c r="F407" i="1"/>
  <c r="G407" i="1"/>
  <c r="A408" i="1"/>
  <c r="B408" i="1"/>
  <c r="C408" i="1"/>
  <c r="D408" i="1"/>
  <c r="E408" i="1"/>
  <c r="F408" i="1"/>
  <c r="G408" i="1"/>
  <c r="A409" i="1"/>
  <c r="B409" i="1"/>
  <c r="C409" i="1"/>
  <c r="D409" i="1"/>
  <c r="E409" i="1"/>
  <c r="F409" i="1"/>
  <c r="G409" i="1"/>
  <c r="A410" i="1"/>
  <c r="B410" i="1"/>
  <c r="C410" i="1"/>
  <c r="D410" i="1"/>
  <c r="E410" i="1"/>
  <c r="F410" i="1"/>
  <c r="G410" i="1"/>
  <c r="A411" i="1"/>
  <c r="B411" i="1"/>
  <c r="C411" i="1"/>
  <c r="D411" i="1"/>
  <c r="E411" i="1"/>
  <c r="F411" i="1"/>
  <c r="G411" i="1"/>
  <c r="A412" i="1"/>
  <c r="B412" i="1"/>
  <c r="C412" i="1"/>
  <c r="D412" i="1"/>
  <c r="E412" i="1"/>
  <c r="F412" i="1"/>
  <c r="G412" i="1"/>
  <c r="A413" i="1"/>
  <c r="B413" i="1"/>
  <c r="C413" i="1"/>
  <c r="D413" i="1"/>
  <c r="E413" i="1"/>
  <c r="F413" i="1"/>
  <c r="G413" i="1"/>
  <c r="A414" i="1"/>
  <c r="B414" i="1"/>
  <c r="C414" i="1"/>
  <c r="D414" i="1"/>
  <c r="E414" i="1"/>
  <c r="F414" i="1"/>
  <c r="G414" i="1"/>
  <c r="A415" i="1"/>
  <c r="B415" i="1"/>
  <c r="C415" i="1"/>
  <c r="D415" i="1"/>
  <c r="E415" i="1"/>
  <c r="F415" i="1"/>
  <c r="G415" i="1"/>
  <c r="A416" i="1"/>
  <c r="B416" i="1"/>
  <c r="C416" i="1"/>
  <c r="D416" i="1"/>
  <c r="E416" i="1"/>
  <c r="F416" i="1"/>
  <c r="G416" i="1"/>
  <c r="A417" i="1"/>
  <c r="B417" i="1"/>
  <c r="C417" i="1"/>
  <c r="D417" i="1"/>
  <c r="E417" i="1"/>
  <c r="F417" i="1"/>
  <c r="G417" i="1"/>
  <c r="A418" i="1"/>
  <c r="B418" i="1"/>
  <c r="C418" i="1"/>
  <c r="D418" i="1"/>
  <c r="E418" i="1"/>
  <c r="F418" i="1"/>
  <c r="G418" i="1"/>
  <c r="A419" i="1"/>
  <c r="B419" i="1"/>
  <c r="C419" i="1"/>
  <c r="D419" i="1"/>
  <c r="E419" i="1"/>
  <c r="F419" i="1"/>
  <c r="G419" i="1"/>
  <c r="A420" i="1"/>
  <c r="B420" i="1"/>
  <c r="C420" i="1"/>
  <c r="D420" i="1"/>
  <c r="E420" i="1"/>
  <c r="F420" i="1"/>
  <c r="G420" i="1"/>
  <c r="A421" i="1"/>
  <c r="B421" i="1"/>
  <c r="C421" i="1"/>
  <c r="D421" i="1"/>
  <c r="E421" i="1"/>
  <c r="F421" i="1"/>
  <c r="G421" i="1"/>
  <c r="A422" i="1"/>
  <c r="B422" i="1"/>
  <c r="C422" i="1"/>
  <c r="D422" i="1"/>
  <c r="E422" i="1"/>
  <c r="F422" i="1"/>
  <c r="G422" i="1"/>
  <c r="A423" i="1"/>
  <c r="B423" i="1"/>
  <c r="C423" i="1"/>
  <c r="D423" i="1"/>
  <c r="E423" i="1"/>
  <c r="F423" i="1"/>
  <c r="G423" i="1"/>
  <c r="A424" i="1"/>
  <c r="B424" i="1"/>
  <c r="C424" i="1"/>
  <c r="D424" i="1"/>
  <c r="E424" i="1"/>
  <c r="F424" i="1"/>
  <c r="G424" i="1"/>
  <c r="A425" i="1"/>
  <c r="B425" i="1"/>
  <c r="C425" i="1"/>
  <c r="D425" i="1"/>
  <c r="E425" i="1"/>
  <c r="F425" i="1"/>
  <c r="G425" i="1"/>
  <c r="A426" i="1"/>
  <c r="B426" i="1"/>
  <c r="C426" i="1"/>
  <c r="D426" i="1"/>
  <c r="E426" i="1"/>
  <c r="F426" i="1"/>
  <c r="G426" i="1"/>
  <c r="A427" i="1"/>
  <c r="B427" i="1"/>
  <c r="C427" i="1"/>
  <c r="D427" i="1"/>
  <c r="E427" i="1"/>
  <c r="F427" i="1"/>
  <c r="G427" i="1"/>
  <c r="A428" i="1"/>
  <c r="B428" i="1"/>
  <c r="C428" i="1"/>
  <c r="D428" i="1"/>
  <c r="E428" i="1"/>
  <c r="F428" i="1"/>
  <c r="G428" i="1"/>
  <c r="A429" i="1"/>
  <c r="B429" i="1"/>
  <c r="C429" i="1"/>
  <c r="D429" i="1"/>
  <c r="E429" i="1"/>
  <c r="F429" i="1"/>
  <c r="G429" i="1"/>
  <c r="A430" i="1"/>
  <c r="B430" i="1"/>
  <c r="C430" i="1"/>
  <c r="D430" i="1"/>
  <c r="E430" i="1"/>
  <c r="F430" i="1"/>
  <c r="G430" i="1"/>
  <c r="A431" i="1"/>
  <c r="B431" i="1"/>
  <c r="C431" i="1"/>
  <c r="D431" i="1"/>
  <c r="E431" i="1"/>
  <c r="F431" i="1"/>
  <c r="G431" i="1"/>
  <c r="A432" i="1"/>
  <c r="B432" i="1"/>
  <c r="C432" i="1"/>
  <c r="D432" i="1"/>
  <c r="E432" i="1"/>
  <c r="F432" i="1"/>
  <c r="G432" i="1"/>
  <c r="A433" i="1"/>
  <c r="B433" i="1"/>
  <c r="C433" i="1"/>
  <c r="D433" i="1"/>
  <c r="E433" i="1"/>
  <c r="F433" i="1"/>
  <c r="G433" i="1"/>
  <c r="A434" i="1"/>
  <c r="B434" i="1"/>
  <c r="C434" i="1"/>
  <c r="D434" i="1"/>
  <c r="E434" i="1"/>
  <c r="F434" i="1"/>
  <c r="G434" i="1"/>
  <c r="A435" i="1"/>
  <c r="B435" i="1"/>
  <c r="C435" i="1"/>
  <c r="D435" i="1"/>
  <c r="E435" i="1"/>
  <c r="F435" i="1"/>
  <c r="G435" i="1"/>
  <c r="A436" i="1"/>
  <c r="B436" i="1"/>
  <c r="C436" i="1"/>
  <c r="D436" i="1"/>
  <c r="E436" i="1"/>
  <c r="F436" i="1"/>
  <c r="G436" i="1"/>
  <c r="A437" i="1"/>
  <c r="B437" i="1"/>
  <c r="C437" i="1"/>
  <c r="D437" i="1"/>
  <c r="E437" i="1"/>
  <c r="F437" i="1"/>
  <c r="G437" i="1"/>
  <c r="A438" i="1"/>
  <c r="B438" i="1"/>
  <c r="C438" i="1"/>
  <c r="D438" i="1"/>
  <c r="E438" i="1"/>
  <c r="F438" i="1"/>
  <c r="G438" i="1"/>
  <c r="A439" i="1"/>
  <c r="B439" i="1"/>
  <c r="C439" i="1"/>
  <c r="D439" i="1"/>
  <c r="E439" i="1"/>
  <c r="F439" i="1"/>
  <c r="G439" i="1"/>
  <c r="A440" i="1"/>
  <c r="B440" i="1"/>
  <c r="C440" i="1"/>
  <c r="D440" i="1"/>
  <c r="E440" i="1"/>
  <c r="F440" i="1"/>
  <c r="G440" i="1"/>
  <c r="A441" i="1"/>
  <c r="B441" i="1"/>
  <c r="C441" i="1"/>
  <c r="D441" i="1"/>
  <c r="E441" i="1"/>
  <c r="F441" i="1"/>
  <c r="G441" i="1"/>
  <c r="A442" i="1"/>
  <c r="B442" i="1"/>
  <c r="C442" i="1"/>
  <c r="D442" i="1"/>
  <c r="E442" i="1"/>
  <c r="F442" i="1"/>
  <c r="G442" i="1"/>
  <c r="A443" i="1"/>
  <c r="B443" i="1"/>
  <c r="C443" i="1"/>
  <c r="D443" i="1"/>
  <c r="E443" i="1"/>
  <c r="F443" i="1"/>
  <c r="G443" i="1"/>
  <c r="A444" i="1"/>
  <c r="B444" i="1"/>
  <c r="C444" i="1"/>
  <c r="D444" i="1"/>
  <c r="E444" i="1"/>
  <c r="F444" i="1"/>
  <c r="G444" i="1"/>
  <c r="A445" i="1"/>
  <c r="B445" i="1"/>
  <c r="C445" i="1"/>
  <c r="D445" i="1"/>
  <c r="E445" i="1"/>
  <c r="F445" i="1"/>
  <c r="G445" i="1"/>
  <c r="A446" i="1"/>
  <c r="B446" i="1"/>
  <c r="C446" i="1"/>
  <c r="D446" i="1"/>
  <c r="E446" i="1"/>
  <c r="F446" i="1"/>
  <c r="G446" i="1"/>
  <c r="A447" i="1"/>
  <c r="B447" i="1"/>
  <c r="C447" i="1"/>
  <c r="D447" i="1"/>
  <c r="E447" i="1"/>
  <c r="F447" i="1"/>
  <c r="G447" i="1"/>
  <c r="A448" i="1"/>
  <c r="B448" i="1"/>
  <c r="C448" i="1"/>
  <c r="D448" i="1"/>
  <c r="E448" i="1"/>
  <c r="F448" i="1"/>
  <c r="G448" i="1"/>
  <c r="A449" i="1"/>
  <c r="B449" i="1"/>
  <c r="C449" i="1"/>
  <c r="D449" i="1"/>
  <c r="E449" i="1"/>
  <c r="F449" i="1"/>
  <c r="G449" i="1"/>
  <c r="A450" i="1"/>
  <c r="B450" i="1"/>
  <c r="C450" i="1"/>
  <c r="D450" i="1"/>
  <c r="E450" i="1"/>
  <c r="F450" i="1"/>
  <c r="G450" i="1"/>
  <c r="A451" i="1"/>
  <c r="B451" i="1"/>
  <c r="C451" i="1"/>
  <c r="D451" i="1"/>
  <c r="E451" i="1"/>
  <c r="F451" i="1"/>
  <c r="G451" i="1"/>
  <c r="A452" i="1"/>
  <c r="B452" i="1"/>
  <c r="C452" i="1"/>
  <c r="D452" i="1"/>
  <c r="E452" i="1"/>
  <c r="F452" i="1"/>
  <c r="G452" i="1"/>
  <c r="A453" i="1"/>
  <c r="B453" i="1"/>
  <c r="C453" i="1"/>
  <c r="D453" i="1"/>
  <c r="E453" i="1"/>
  <c r="F453" i="1"/>
  <c r="G453" i="1"/>
  <c r="A454" i="1"/>
  <c r="B454" i="1"/>
  <c r="C454" i="1"/>
  <c r="D454" i="1"/>
  <c r="E454" i="1"/>
  <c r="F454" i="1"/>
  <c r="G454" i="1"/>
  <c r="A455" i="1"/>
  <c r="B455" i="1"/>
  <c r="C455" i="1"/>
  <c r="D455" i="1"/>
  <c r="E455" i="1"/>
  <c r="F455" i="1"/>
  <c r="G455" i="1"/>
  <c r="A456" i="1"/>
  <c r="B456" i="1"/>
  <c r="C456" i="1"/>
  <c r="D456" i="1"/>
  <c r="E456" i="1"/>
  <c r="F456" i="1"/>
  <c r="G456" i="1"/>
  <c r="A457" i="1"/>
  <c r="B457" i="1"/>
  <c r="C457" i="1"/>
  <c r="D457" i="1"/>
  <c r="E457" i="1"/>
  <c r="F457" i="1"/>
  <c r="G457" i="1"/>
  <c r="A458" i="1"/>
  <c r="B458" i="1"/>
  <c r="C458" i="1"/>
  <c r="D458" i="1"/>
  <c r="E458" i="1"/>
  <c r="F458" i="1"/>
  <c r="G458" i="1"/>
  <c r="A459" i="1"/>
  <c r="B459" i="1"/>
  <c r="C459" i="1"/>
  <c r="D459" i="1"/>
  <c r="E459" i="1"/>
  <c r="F459" i="1"/>
  <c r="G459" i="1"/>
  <c r="A460" i="1"/>
  <c r="B460" i="1"/>
  <c r="C460" i="1"/>
  <c r="D460" i="1"/>
  <c r="E460" i="1"/>
  <c r="F460" i="1"/>
  <c r="G460" i="1"/>
  <c r="A461" i="1"/>
  <c r="B461" i="1"/>
  <c r="C461" i="1"/>
  <c r="D461" i="1"/>
  <c r="E461" i="1"/>
  <c r="F461" i="1"/>
  <c r="G461" i="1"/>
  <c r="A462" i="1"/>
  <c r="B462" i="1"/>
  <c r="C462" i="1"/>
  <c r="D462" i="1"/>
  <c r="E462" i="1"/>
  <c r="F462" i="1"/>
  <c r="G462" i="1"/>
  <c r="A463" i="1"/>
  <c r="B463" i="1"/>
  <c r="C463" i="1"/>
  <c r="D463" i="1"/>
  <c r="E463" i="1"/>
  <c r="F463" i="1"/>
  <c r="G463" i="1"/>
  <c r="A464" i="1"/>
  <c r="B464" i="1"/>
  <c r="C464" i="1"/>
  <c r="D464" i="1"/>
  <c r="E464" i="1"/>
  <c r="F464" i="1"/>
  <c r="G464" i="1"/>
  <c r="A465" i="1"/>
  <c r="B465" i="1"/>
  <c r="C465" i="1"/>
  <c r="D465" i="1"/>
  <c r="E465" i="1"/>
  <c r="F465" i="1"/>
  <c r="G465" i="1"/>
  <c r="A466" i="1"/>
  <c r="B466" i="1"/>
  <c r="C466" i="1"/>
  <c r="D466" i="1"/>
  <c r="E466" i="1"/>
  <c r="F466" i="1"/>
  <c r="G466" i="1"/>
  <c r="A467" i="1"/>
  <c r="B467" i="1"/>
  <c r="C467" i="1"/>
  <c r="D467" i="1"/>
  <c r="E467" i="1"/>
  <c r="F467" i="1"/>
  <c r="G467" i="1"/>
  <c r="A468" i="1"/>
  <c r="B468" i="1"/>
  <c r="C468" i="1"/>
  <c r="D468" i="1"/>
  <c r="E468" i="1"/>
  <c r="F468" i="1"/>
  <c r="G468" i="1"/>
  <c r="A469" i="1"/>
  <c r="B469" i="1"/>
  <c r="C469" i="1"/>
  <c r="D469" i="1"/>
  <c r="E469" i="1"/>
  <c r="F469" i="1"/>
  <c r="G469" i="1"/>
  <c r="A470" i="1"/>
  <c r="B470" i="1"/>
  <c r="C470" i="1"/>
  <c r="D470" i="1"/>
  <c r="E470" i="1"/>
  <c r="F470" i="1"/>
  <c r="G470" i="1"/>
  <c r="A471" i="1"/>
  <c r="B471" i="1"/>
  <c r="C471" i="1"/>
  <c r="D471" i="1"/>
  <c r="E471" i="1"/>
  <c r="F471" i="1"/>
  <c r="G471" i="1"/>
  <c r="A472" i="1"/>
  <c r="B472" i="1"/>
  <c r="C472" i="1"/>
  <c r="D472" i="1"/>
  <c r="E472" i="1"/>
  <c r="F472" i="1"/>
  <c r="G472" i="1"/>
  <c r="A473" i="1"/>
  <c r="B473" i="1"/>
  <c r="C473" i="1"/>
  <c r="D473" i="1"/>
  <c r="E473" i="1"/>
  <c r="F473" i="1"/>
  <c r="G473" i="1"/>
  <c r="A474" i="1"/>
  <c r="B474" i="1"/>
  <c r="C474" i="1"/>
  <c r="D474" i="1"/>
  <c r="E474" i="1"/>
  <c r="F474" i="1"/>
  <c r="G474" i="1"/>
  <c r="A475" i="1"/>
  <c r="B475" i="1"/>
  <c r="C475" i="1"/>
  <c r="D475" i="1"/>
  <c r="E475" i="1"/>
  <c r="F475" i="1"/>
  <c r="G475" i="1"/>
  <c r="A476" i="1"/>
  <c r="B476" i="1"/>
  <c r="C476" i="1"/>
  <c r="D476" i="1"/>
  <c r="E476" i="1"/>
  <c r="F476" i="1"/>
  <c r="G476" i="1"/>
  <c r="A477" i="1"/>
  <c r="B477" i="1"/>
  <c r="C477" i="1"/>
  <c r="D477" i="1"/>
  <c r="E477" i="1"/>
  <c r="F477" i="1"/>
  <c r="G477" i="1"/>
  <c r="A478" i="1"/>
  <c r="B478" i="1"/>
  <c r="C478" i="1"/>
  <c r="D478" i="1"/>
  <c r="E478" i="1"/>
  <c r="F478" i="1"/>
  <c r="G478" i="1"/>
  <c r="A479" i="1"/>
  <c r="B479" i="1"/>
  <c r="C479" i="1"/>
  <c r="D479" i="1"/>
  <c r="E479" i="1"/>
  <c r="F479" i="1"/>
  <c r="G479" i="1"/>
  <c r="A480" i="1"/>
  <c r="B480" i="1"/>
  <c r="C480" i="1"/>
  <c r="D480" i="1"/>
  <c r="E480" i="1"/>
  <c r="F480" i="1"/>
  <c r="G480" i="1"/>
  <c r="A481" i="1"/>
  <c r="B481" i="1"/>
  <c r="C481" i="1"/>
  <c r="D481" i="1"/>
  <c r="E481" i="1"/>
  <c r="F481" i="1"/>
  <c r="G481" i="1"/>
  <c r="A482" i="1"/>
  <c r="B482" i="1"/>
  <c r="C482" i="1"/>
  <c r="D482" i="1"/>
  <c r="E482" i="1"/>
  <c r="F482" i="1"/>
  <c r="G482" i="1"/>
  <c r="A483" i="1"/>
  <c r="B483" i="1"/>
  <c r="C483" i="1"/>
  <c r="D483" i="1"/>
  <c r="E483" i="1"/>
  <c r="F483" i="1"/>
  <c r="G483" i="1"/>
  <c r="A484" i="1"/>
  <c r="B484" i="1"/>
  <c r="C484" i="1"/>
  <c r="D484" i="1"/>
  <c r="E484" i="1"/>
  <c r="F484" i="1"/>
  <c r="G484" i="1"/>
  <c r="A485" i="1"/>
  <c r="B485" i="1"/>
  <c r="C485" i="1"/>
  <c r="D485" i="1"/>
  <c r="E485" i="1"/>
  <c r="F485" i="1"/>
  <c r="G485" i="1"/>
  <c r="A486" i="1"/>
  <c r="B486" i="1"/>
  <c r="C486" i="1"/>
  <c r="D486" i="1"/>
  <c r="E486" i="1"/>
  <c r="F486" i="1"/>
  <c r="G486" i="1"/>
  <c r="A487" i="1"/>
  <c r="B487" i="1"/>
  <c r="C487" i="1"/>
  <c r="D487" i="1"/>
  <c r="E487" i="1"/>
  <c r="F487" i="1"/>
  <c r="G487" i="1"/>
  <c r="A488" i="1"/>
  <c r="B488" i="1"/>
  <c r="C488" i="1"/>
  <c r="D488" i="1"/>
  <c r="E488" i="1"/>
  <c r="F488" i="1"/>
  <c r="G488" i="1"/>
  <c r="A489" i="1"/>
  <c r="B489" i="1"/>
  <c r="C489" i="1"/>
  <c r="D489" i="1"/>
  <c r="E489" i="1"/>
  <c r="F489" i="1"/>
  <c r="G489" i="1"/>
  <c r="A490" i="1"/>
  <c r="B490" i="1"/>
  <c r="C490" i="1"/>
  <c r="D490" i="1"/>
  <c r="E490" i="1"/>
  <c r="F490" i="1"/>
  <c r="G490" i="1"/>
  <c r="A491" i="1"/>
  <c r="B491" i="1"/>
  <c r="C491" i="1"/>
  <c r="D491" i="1"/>
  <c r="E491" i="1"/>
  <c r="F491" i="1"/>
  <c r="G491" i="1"/>
  <c r="A492" i="1"/>
  <c r="B492" i="1"/>
  <c r="C492" i="1"/>
  <c r="D492" i="1"/>
  <c r="E492" i="1"/>
  <c r="F492" i="1"/>
  <c r="G492" i="1"/>
  <c r="A493" i="1"/>
  <c r="B493" i="1"/>
  <c r="C493" i="1"/>
  <c r="D493" i="1"/>
  <c r="E493" i="1"/>
  <c r="F493" i="1"/>
  <c r="G493" i="1"/>
  <c r="A494" i="1"/>
  <c r="B494" i="1"/>
  <c r="C494" i="1"/>
  <c r="D494" i="1"/>
  <c r="E494" i="1"/>
  <c r="F494" i="1"/>
  <c r="G494" i="1"/>
  <c r="A495" i="1"/>
  <c r="B495" i="1"/>
  <c r="C495" i="1"/>
  <c r="D495" i="1"/>
  <c r="E495" i="1"/>
  <c r="F495" i="1"/>
  <c r="G495" i="1"/>
  <c r="A496" i="1"/>
  <c r="B496" i="1"/>
  <c r="C496" i="1"/>
  <c r="D496" i="1"/>
  <c r="E496" i="1"/>
  <c r="F496" i="1"/>
  <c r="G496" i="1"/>
  <c r="A497" i="1"/>
  <c r="B497" i="1"/>
  <c r="C497" i="1"/>
  <c r="D497" i="1"/>
  <c r="E497" i="1"/>
  <c r="F497" i="1"/>
  <c r="G497" i="1"/>
  <c r="A498" i="1"/>
  <c r="B498" i="1"/>
  <c r="C498" i="1"/>
  <c r="D498" i="1"/>
  <c r="E498" i="1"/>
  <c r="F498" i="1"/>
  <c r="G498" i="1"/>
  <c r="A499" i="1"/>
  <c r="B499" i="1"/>
  <c r="C499" i="1"/>
  <c r="D499" i="1"/>
  <c r="E499" i="1"/>
  <c r="F499" i="1"/>
  <c r="G499" i="1"/>
  <c r="A500" i="1"/>
  <c r="B500" i="1"/>
  <c r="C500" i="1"/>
  <c r="D500" i="1"/>
  <c r="E500" i="1"/>
  <c r="F500" i="1"/>
  <c r="G500" i="1"/>
  <c r="A501" i="1"/>
  <c r="B501" i="1"/>
  <c r="C501" i="1"/>
  <c r="D501" i="1"/>
  <c r="E501" i="1"/>
  <c r="F501" i="1"/>
  <c r="G501" i="1"/>
  <c r="A502" i="1"/>
  <c r="B502" i="1"/>
  <c r="C502" i="1"/>
  <c r="D502" i="1"/>
  <c r="E502" i="1"/>
  <c r="F502" i="1"/>
  <c r="G502" i="1"/>
  <c r="A503" i="1"/>
  <c r="B503" i="1"/>
  <c r="C503" i="1"/>
  <c r="D503" i="1"/>
  <c r="E503" i="1"/>
  <c r="F503" i="1"/>
  <c r="G503" i="1"/>
</calcChain>
</file>

<file path=xl/sharedStrings.xml><?xml version="1.0" encoding="utf-8"?>
<sst xmlns="http://schemas.openxmlformats.org/spreadsheetml/2006/main" count="8" uniqueCount="8">
  <si>
    <t>Quantidade</t>
  </si>
  <si>
    <t>Agressor</t>
  </si>
  <si>
    <t>Data</t>
  </si>
  <si>
    <t>Compradora</t>
  </si>
  <si>
    <t>Valor</t>
  </si>
  <si>
    <t>Vendedora</t>
  </si>
  <si>
    <t>Agente Agressor</t>
  </si>
  <si>
    <t>Cotação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</si>
</sst>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s">
        <v>-</v>
        <stp/>
        <stp>T&amp;T0</stp>
        <stp>DAT</stp>
        <stp>8</stp>
        <tr r="A11" s="1"/>
      </tp>
      <tp t="s">
        <v>-</v>
        <stp/>
        <stp>T&amp;T0</stp>
        <stp>DAT</stp>
        <stp>9</stp>
        <tr r="A12" s="1"/>
      </tp>
      <tp t="s">
        <v>-</v>
        <stp/>
        <stp>T&amp;T0</stp>
        <stp>DAT</stp>
        <stp>6</stp>
        <tr r="A9" s="1"/>
      </tp>
      <tp t="s">
        <v>-</v>
        <stp/>
        <stp>T&amp;T0</stp>
        <stp>DAT</stp>
        <stp>7</stp>
        <tr r="A10" s="1"/>
      </tp>
      <tp t="s">
        <v>-</v>
        <stp/>
        <stp>T&amp;T0</stp>
        <stp>DAT</stp>
        <stp>4</stp>
        <tr r="A7" s="1"/>
      </tp>
      <tp t="s">
        <v>-</v>
        <stp/>
        <stp>T&amp;T0</stp>
        <stp>DAT</stp>
        <stp>5</stp>
        <tr r="A8" s="1"/>
      </tp>
      <tp t="s">
        <v>-</v>
        <stp/>
        <stp>T&amp;T0</stp>
        <stp>DAT</stp>
        <stp>2</stp>
        <tr r="A5" s="1"/>
      </tp>
      <tp t="s">
        <v>-</v>
        <stp/>
        <stp>T&amp;T0</stp>
        <stp>DAT</stp>
        <stp>3</stp>
        <tr r="A6" s="1"/>
      </tp>
      <tp t="s">
        <v>-</v>
        <stp/>
        <stp>T&amp;T0</stp>
        <stp>DAT</stp>
        <stp>0</stp>
        <tr r="A3" s="1"/>
      </tp>
      <tp t="s">
        <v>-</v>
        <stp/>
        <stp>T&amp;T0</stp>
        <stp>DAT</stp>
        <stp>1</stp>
        <tr r="A4" s="1"/>
      </tp>
      <tp t="s">
        <v>-</v>
        <stp/>
        <stp>T&amp;T0</stp>
        <stp>ACP</stp>
        <stp>9</stp>
        <tr r="B12" s="1"/>
      </tp>
      <tp t="s">
        <v>-</v>
        <stp/>
        <stp>T&amp;T0</stp>
        <stp>ACP</stp>
        <stp>8</stp>
        <tr r="B11" s="1"/>
      </tp>
      <tp t="s">
        <v>-</v>
        <stp/>
        <stp>T&amp;T0</stp>
        <stp>ACP</stp>
        <stp>3</stp>
        <tr r="B6" s="1"/>
      </tp>
      <tp t="s">
        <v>-</v>
        <stp/>
        <stp>T&amp;T0</stp>
        <stp>ACP</stp>
        <stp>2</stp>
        <tr r="B5" s="1"/>
      </tp>
      <tp t="s">
        <v>-</v>
        <stp/>
        <stp>T&amp;T0</stp>
        <stp>ACP</stp>
        <stp>1</stp>
        <tr r="B4" s="1"/>
      </tp>
      <tp t="s">
        <v>-</v>
        <stp/>
        <stp>T&amp;T0</stp>
        <stp>ACP</stp>
        <stp>0</stp>
        <tr r="B3" s="1"/>
      </tp>
      <tp t="s">
        <v>-</v>
        <stp/>
        <stp>T&amp;T0</stp>
        <stp>ACP</stp>
        <stp>7</stp>
        <tr r="B10" s="1"/>
      </tp>
      <tp t="s">
        <v>-</v>
        <stp/>
        <stp>T&amp;T0</stp>
        <stp>ACP</stp>
        <stp>6</stp>
        <tr r="B9" s="1"/>
      </tp>
      <tp t="s">
        <v>-</v>
        <stp/>
        <stp>T&amp;T0</stp>
        <stp>ACP</stp>
        <stp>5</stp>
        <tr r="B8" s="1"/>
      </tp>
      <tp t="s">
        <v>-</v>
        <stp/>
        <stp>T&amp;T0</stp>
        <stp>ACP</stp>
        <stp>4</stp>
        <tr r="B7" s="1"/>
      </tp>
      <tp t="s">
        <v>-</v>
        <stp/>
        <stp>T&amp;T0</stp>
        <stp>AGR</stp>
        <stp>9</stp>
        <tr r="F12" s="1"/>
      </tp>
      <tp t="s">
        <v>-</v>
        <stp/>
        <stp>T&amp;T0</stp>
        <stp>AGR</stp>
        <stp>8</stp>
        <tr r="F11" s="1"/>
      </tp>
      <tp t="s">
        <v>-</v>
        <stp/>
        <stp>T&amp;T0</stp>
        <stp>AGR</stp>
        <stp>3</stp>
        <tr r="F6" s="1"/>
      </tp>
      <tp t="s">
        <v>-</v>
        <stp/>
        <stp>T&amp;T0</stp>
        <stp>AGR</stp>
        <stp>2</stp>
        <tr r="F5" s="1"/>
      </tp>
      <tp t="s">
        <v>-</v>
        <stp/>
        <stp>T&amp;T0</stp>
        <stp>AGR</stp>
        <stp>1</stp>
        <tr r="F4" s="1"/>
      </tp>
      <tp t="s">
        <v>-</v>
        <stp/>
        <stp>T&amp;T0</stp>
        <stp>AGR</stp>
        <stp>0</stp>
        <tr r="F3" s="1"/>
      </tp>
      <tp t="s">
        <v>-</v>
        <stp/>
        <stp>T&amp;T0</stp>
        <stp>AGR</stp>
        <stp>7</stp>
        <tr r="F10" s="1"/>
      </tp>
      <tp t="s">
        <v>-</v>
        <stp/>
        <stp>T&amp;T0</stp>
        <stp>AGR</stp>
        <stp>6</stp>
        <tr r="F9" s="1"/>
      </tp>
      <tp t="s">
        <v>-</v>
        <stp/>
        <stp>T&amp;T0</stp>
        <stp>AGR</stp>
        <stp>5</stp>
        <tr r="F8" s="1"/>
      </tp>
      <tp t="s">
        <v>-</v>
        <stp/>
        <stp>T&amp;T0</stp>
        <stp>AGR</stp>
        <stp>4</stp>
        <tr r="F7" s="1"/>
      </tp>
      <tp t="s">
        <v>-</v>
        <stp/>
        <stp>T&amp;T0</stp>
        <stp>AGAG</stp>
        <stp>95</stp>
        <tr r="G98" s="1"/>
      </tp>
      <tp t="s">
        <v>-</v>
        <stp/>
        <stp>T&amp;T0</stp>
        <stp>AGAG</stp>
        <stp>94</stp>
        <tr r="G97" s="1"/>
      </tp>
      <tp t="s">
        <v>-</v>
        <stp/>
        <stp>T&amp;T0</stp>
        <stp>AGAG</stp>
        <stp>97</stp>
        <tr r="G100" s="1"/>
      </tp>
      <tp t="s">
        <v>-</v>
        <stp/>
        <stp>T&amp;T0</stp>
        <stp>AGAG</stp>
        <stp>96</stp>
        <tr r="G99" s="1"/>
      </tp>
      <tp t="s">
        <v>-</v>
        <stp/>
        <stp>T&amp;T0</stp>
        <stp>AGAG</stp>
        <stp>91</stp>
        <tr r="G94" s="1"/>
      </tp>
      <tp t="s">
        <v>-</v>
        <stp/>
        <stp>T&amp;T0</stp>
        <stp>AGAG</stp>
        <stp>90</stp>
        <tr r="G93" s="1"/>
      </tp>
      <tp t="s">
        <v>-</v>
        <stp/>
        <stp>T&amp;T0</stp>
        <stp>AGAG</stp>
        <stp>93</stp>
        <tr r="G96" s="1"/>
      </tp>
      <tp t="s">
        <v>-</v>
        <stp/>
        <stp>T&amp;T0</stp>
        <stp>AGAG</stp>
        <stp>92</stp>
        <tr r="G95" s="1"/>
      </tp>
      <tp t="s">
        <v>-</v>
        <stp/>
        <stp>T&amp;T0</stp>
        <stp>AGAG</stp>
        <stp>99</stp>
        <tr r="G102" s="1"/>
      </tp>
      <tp t="s">
        <v>-</v>
        <stp/>
        <stp>T&amp;T0</stp>
        <stp>AGAG</stp>
        <stp>98</stp>
        <tr r="G101" s="1"/>
      </tp>
      <tp t="s">
        <v>-</v>
        <stp/>
        <stp>T&amp;T0</stp>
        <stp>AGAG</stp>
        <stp>85</stp>
        <tr r="G88" s="1"/>
      </tp>
      <tp t="s">
        <v>-</v>
        <stp/>
        <stp>T&amp;T0</stp>
        <stp>AGAG</stp>
        <stp>84</stp>
        <tr r="G87" s="1"/>
      </tp>
      <tp t="s">
        <v>-</v>
        <stp/>
        <stp>T&amp;T0</stp>
        <stp>AGAG</stp>
        <stp>87</stp>
        <tr r="G90" s="1"/>
      </tp>
      <tp t="s">
        <v>-</v>
        <stp/>
        <stp>T&amp;T0</stp>
        <stp>AGAG</stp>
        <stp>86</stp>
        <tr r="G89" s="1"/>
      </tp>
      <tp t="s">
        <v>-</v>
        <stp/>
        <stp>T&amp;T0</stp>
        <stp>AGAG</stp>
        <stp>81</stp>
        <tr r="G84" s="1"/>
      </tp>
      <tp t="s">
        <v>-</v>
        <stp/>
        <stp>T&amp;T0</stp>
        <stp>AGAG</stp>
        <stp>80</stp>
        <tr r="G83" s="1"/>
      </tp>
      <tp t="s">
        <v>-</v>
        <stp/>
        <stp>T&amp;T0</stp>
        <stp>AGAG</stp>
        <stp>83</stp>
        <tr r="G86" s="1"/>
      </tp>
      <tp t="s">
        <v>-</v>
        <stp/>
        <stp>T&amp;T0</stp>
        <stp>AGAG</stp>
        <stp>82</stp>
        <tr r="G85" s="1"/>
      </tp>
      <tp t="s">
        <v>-</v>
        <stp/>
        <stp>T&amp;T0</stp>
        <stp>AGAG</stp>
        <stp>89</stp>
        <tr r="G92" s="1"/>
      </tp>
      <tp t="s">
        <v>-</v>
        <stp/>
        <stp>T&amp;T0</stp>
        <stp>AGAG</stp>
        <stp>88</stp>
        <tr r="G91" s="1"/>
      </tp>
      <tp t="s">
        <v>-</v>
        <stp/>
        <stp>T&amp;T0</stp>
        <stp>AGAG</stp>
        <stp>35</stp>
        <tr r="G38" s="1"/>
      </tp>
      <tp t="s">
        <v>-</v>
        <stp/>
        <stp>T&amp;T0</stp>
        <stp>AGAG</stp>
        <stp>34</stp>
        <tr r="G37" s="1"/>
      </tp>
      <tp t="s">
        <v>-</v>
        <stp/>
        <stp>T&amp;T0</stp>
        <stp>AGAG</stp>
        <stp>37</stp>
        <tr r="G40" s="1"/>
      </tp>
      <tp t="s">
        <v>-</v>
        <stp/>
        <stp>T&amp;T0</stp>
        <stp>AGAG</stp>
        <stp>36</stp>
        <tr r="G39" s="1"/>
      </tp>
      <tp t="s">
        <v>-</v>
        <stp/>
        <stp>T&amp;T0</stp>
        <stp>AGAG</stp>
        <stp>31</stp>
        <tr r="G34" s="1"/>
      </tp>
      <tp t="s">
        <v>-</v>
        <stp/>
        <stp>T&amp;T0</stp>
        <stp>AGAG</stp>
        <stp>30</stp>
        <tr r="G33" s="1"/>
      </tp>
      <tp t="s">
        <v>-</v>
        <stp/>
        <stp>T&amp;T0</stp>
        <stp>AGAG</stp>
        <stp>33</stp>
        <tr r="G36" s="1"/>
      </tp>
      <tp t="s">
        <v>-</v>
        <stp/>
        <stp>T&amp;T0</stp>
        <stp>AGAG</stp>
        <stp>32</stp>
        <tr r="G35" s="1"/>
      </tp>
      <tp t="s">
        <v>-</v>
        <stp/>
        <stp>T&amp;T0</stp>
        <stp>AGAG</stp>
        <stp>39</stp>
        <tr r="G42" s="1"/>
      </tp>
      <tp t="s">
        <v>-</v>
        <stp/>
        <stp>T&amp;T0</stp>
        <stp>AGAG</stp>
        <stp>38</stp>
        <tr r="G41" s="1"/>
      </tp>
      <tp t="s">
        <v>-</v>
        <stp/>
        <stp>T&amp;T0</stp>
        <stp>AGAG</stp>
        <stp>25</stp>
        <tr r="G28" s="1"/>
      </tp>
      <tp t="s">
        <v>-</v>
        <stp/>
        <stp>T&amp;T0</stp>
        <stp>AGAG</stp>
        <stp>24</stp>
        <tr r="G27" s="1"/>
      </tp>
      <tp t="s">
        <v>-</v>
        <stp/>
        <stp>T&amp;T0</stp>
        <stp>AGAG</stp>
        <stp>27</stp>
        <tr r="G30" s="1"/>
      </tp>
      <tp t="s">
        <v>-</v>
        <stp/>
        <stp>T&amp;T0</stp>
        <stp>AGAG</stp>
        <stp>26</stp>
        <tr r="G29" s="1"/>
      </tp>
      <tp t="s">
        <v>-</v>
        <stp/>
        <stp>T&amp;T0</stp>
        <stp>AGAG</stp>
        <stp>21</stp>
        <tr r="G24" s="1"/>
      </tp>
      <tp t="s">
        <v>-</v>
        <stp/>
        <stp>T&amp;T0</stp>
        <stp>AGAG</stp>
        <stp>20</stp>
        <tr r="G23" s="1"/>
      </tp>
      <tp t="s">
        <v>-</v>
        <stp/>
        <stp>T&amp;T0</stp>
        <stp>AGAG</stp>
        <stp>23</stp>
        <tr r="G26" s="1"/>
      </tp>
      <tp t="s">
        <v>-</v>
        <stp/>
        <stp>T&amp;T0</stp>
        <stp>AGAG</stp>
        <stp>22</stp>
        <tr r="G25" s="1"/>
      </tp>
      <tp t="s">
        <v>-</v>
        <stp/>
        <stp>T&amp;T0</stp>
        <stp>AGAG</stp>
        <stp>29</stp>
        <tr r="G32" s="1"/>
      </tp>
      <tp t="s">
        <v>-</v>
        <stp/>
        <stp>T&amp;T0</stp>
        <stp>AGAG</stp>
        <stp>28</stp>
        <tr r="G31" s="1"/>
      </tp>
      <tp t="s">
        <v>-</v>
        <stp/>
        <stp>T&amp;T0</stp>
        <stp>AGAG</stp>
        <stp>15</stp>
        <tr r="G18" s="1"/>
      </tp>
      <tp t="s">
        <v>-</v>
        <stp/>
        <stp>T&amp;T0</stp>
        <stp>AGAG</stp>
        <stp>14</stp>
        <tr r="G17" s="1"/>
      </tp>
      <tp t="s">
        <v>-</v>
        <stp/>
        <stp>T&amp;T0</stp>
        <stp>AGAG</stp>
        <stp>17</stp>
        <tr r="G20" s="1"/>
      </tp>
      <tp t="s">
        <v>-</v>
        <stp/>
        <stp>T&amp;T0</stp>
        <stp>AGAG</stp>
        <stp>16</stp>
        <tr r="G19" s="1"/>
      </tp>
      <tp t="s">
        <v>-</v>
        <stp/>
        <stp>T&amp;T0</stp>
        <stp>AGAG</stp>
        <stp>11</stp>
        <tr r="G14" s="1"/>
      </tp>
      <tp t="s">
        <v>-</v>
        <stp/>
        <stp>T&amp;T0</stp>
        <stp>AGAG</stp>
        <stp>10</stp>
        <tr r="G13" s="1"/>
      </tp>
      <tp t="s">
        <v>-</v>
        <stp/>
        <stp>T&amp;T0</stp>
        <stp>AGAG</stp>
        <stp>13</stp>
        <tr r="G16" s="1"/>
      </tp>
      <tp t="s">
        <v>-</v>
        <stp/>
        <stp>T&amp;T0</stp>
        <stp>AGAG</stp>
        <stp>12</stp>
        <tr r="G15" s="1"/>
      </tp>
      <tp t="s">
        <v>-</v>
        <stp/>
        <stp>T&amp;T0</stp>
        <stp>AGAG</stp>
        <stp>19</stp>
        <tr r="G22" s="1"/>
      </tp>
      <tp t="s">
        <v>-</v>
        <stp/>
        <stp>T&amp;T0</stp>
        <stp>AGAG</stp>
        <stp>18</stp>
        <tr r="G21" s="1"/>
      </tp>
      <tp t="s">
        <v>-</v>
        <stp/>
        <stp>T&amp;T0</stp>
        <stp>AGAG</stp>
        <stp>75</stp>
        <tr r="G78" s="1"/>
      </tp>
      <tp t="s">
        <v>-</v>
        <stp/>
        <stp>T&amp;T0</stp>
        <stp>AGAG</stp>
        <stp>74</stp>
        <tr r="G77" s="1"/>
      </tp>
      <tp t="s">
        <v>-</v>
        <stp/>
        <stp>T&amp;T0</stp>
        <stp>AGAG</stp>
        <stp>77</stp>
        <tr r="G80" s="1"/>
      </tp>
      <tp t="s">
        <v>-</v>
        <stp/>
        <stp>T&amp;T0</stp>
        <stp>AGAG</stp>
        <stp>76</stp>
        <tr r="G79" s="1"/>
      </tp>
      <tp t="s">
        <v>-</v>
        <stp/>
        <stp>T&amp;T0</stp>
        <stp>AGAG</stp>
        <stp>71</stp>
        <tr r="G74" s="1"/>
      </tp>
      <tp t="s">
        <v>-</v>
        <stp/>
        <stp>T&amp;T0</stp>
        <stp>AGAG</stp>
        <stp>70</stp>
        <tr r="G73" s="1"/>
      </tp>
      <tp t="s">
        <v>-</v>
        <stp/>
        <stp>T&amp;T0</stp>
        <stp>AGAG</stp>
        <stp>73</stp>
        <tr r="G76" s="1"/>
      </tp>
      <tp t="s">
        <v>-</v>
        <stp/>
        <stp>T&amp;T0</stp>
        <stp>AGAG</stp>
        <stp>72</stp>
        <tr r="G75" s="1"/>
      </tp>
      <tp t="s">
        <v>-</v>
        <stp/>
        <stp>T&amp;T0</stp>
        <stp>AGAG</stp>
        <stp>79</stp>
        <tr r="G82" s="1"/>
      </tp>
      <tp t="s">
        <v>-</v>
        <stp/>
        <stp>T&amp;T0</stp>
        <stp>AGAG</stp>
        <stp>78</stp>
        <tr r="G81" s="1"/>
      </tp>
      <tp t="s">
        <v>-</v>
        <stp/>
        <stp>T&amp;T0</stp>
        <stp>AGAG</stp>
        <stp>65</stp>
        <tr r="G68" s="1"/>
      </tp>
      <tp t="s">
        <v>-</v>
        <stp/>
        <stp>T&amp;T0</stp>
        <stp>AGAG</stp>
        <stp>64</stp>
        <tr r="G67" s="1"/>
      </tp>
      <tp t="s">
        <v>-</v>
        <stp/>
        <stp>T&amp;T0</stp>
        <stp>AGAG</stp>
        <stp>67</stp>
        <tr r="G70" s="1"/>
      </tp>
      <tp t="s">
        <v>-</v>
        <stp/>
        <stp>T&amp;T0</stp>
        <stp>AGAG</stp>
        <stp>66</stp>
        <tr r="G69" s="1"/>
      </tp>
      <tp t="s">
        <v>-</v>
        <stp/>
        <stp>T&amp;T0</stp>
        <stp>AGAG</stp>
        <stp>61</stp>
        <tr r="G64" s="1"/>
      </tp>
      <tp t="s">
        <v>-</v>
        <stp/>
        <stp>T&amp;T0</stp>
        <stp>AGAG</stp>
        <stp>60</stp>
        <tr r="G63" s="1"/>
      </tp>
      <tp t="s">
        <v>-</v>
        <stp/>
        <stp>T&amp;T0</stp>
        <stp>AGAG</stp>
        <stp>63</stp>
        <tr r="G66" s="1"/>
      </tp>
      <tp t="s">
        <v>-</v>
        <stp/>
        <stp>T&amp;T0</stp>
        <stp>AGAG</stp>
        <stp>62</stp>
        <tr r="G65" s="1"/>
      </tp>
      <tp t="s">
        <v>-</v>
        <stp/>
        <stp>T&amp;T0</stp>
        <stp>AGAG</stp>
        <stp>69</stp>
        <tr r="G72" s="1"/>
      </tp>
      <tp t="s">
        <v>-</v>
        <stp/>
        <stp>T&amp;T0</stp>
        <stp>AGAG</stp>
        <stp>68</stp>
        <tr r="G71" s="1"/>
      </tp>
      <tp t="s">
        <v>-</v>
        <stp/>
        <stp>T&amp;T0</stp>
        <stp>AGAG</stp>
        <stp>55</stp>
        <tr r="G58" s="1"/>
      </tp>
      <tp t="s">
        <v>-</v>
        <stp/>
        <stp>T&amp;T0</stp>
        <stp>AGAG</stp>
        <stp>54</stp>
        <tr r="G57" s="1"/>
      </tp>
      <tp t="s">
        <v>-</v>
        <stp/>
        <stp>T&amp;T0</stp>
        <stp>AGAG</stp>
        <stp>57</stp>
        <tr r="G60" s="1"/>
      </tp>
      <tp t="s">
        <v>-</v>
        <stp/>
        <stp>T&amp;T0</stp>
        <stp>AGAG</stp>
        <stp>56</stp>
        <tr r="G59" s="1"/>
      </tp>
      <tp t="s">
        <v>-</v>
        <stp/>
        <stp>T&amp;T0</stp>
        <stp>AGAG</stp>
        <stp>51</stp>
        <tr r="G54" s="1"/>
      </tp>
      <tp t="s">
        <v>-</v>
        <stp/>
        <stp>T&amp;T0</stp>
        <stp>AGAG</stp>
        <stp>50</stp>
        <tr r="G53" s="1"/>
      </tp>
      <tp t="s">
        <v>-</v>
        <stp/>
        <stp>T&amp;T0</stp>
        <stp>AGAG</stp>
        <stp>53</stp>
        <tr r="G56" s="1"/>
      </tp>
      <tp t="s">
        <v>-</v>
        <stp/>
        <stp>T&amp;T0</stp>
        <stp>AGAG</stp>
        <stp>52</stp>
        <tr r="G55" s="1"/>
      </tp>
      <tp t="s">
        <v>-</v>
        <stp/>
        <stp>T&amp;T0</stp>
        <stp>AGAG</stp>
        <stp>59</stp>
        <tr r="G62" s="1"/>
      </tp>
      <tp t="s">
        <v>-</v>
        <stp/>
        <stp>T&amp;T0</stp>
        <stp>AGAG</stp>
        <stp>58</stp>
        <tr r="G61" s="1"/>
      </tp>
      <tp t="s">
        <v>-</v>
        <stp/>
        <stp>T&amp;T0</stp>
        <stp>AGAG</stp>
        <stp>45</stp>
        <tr r="G48" s="1"/>
      </tp>
      <tp t="s">
        <v>-</v>
        <stp/>
        <stp>T&amp;T0</stp>
        <stp>AGAG</stp>
        <stp>44</stp>
        <tr r="G47" s="1"/>
      </tp>
      <tp t="s">
        <v>-</v>
        <stp/>
        <stp>T&amp;T0</stp>
        <stp>AGAG</stp>
        <stp>47</stp>
        <tr r="G50" s="1"/>
      </tp>
      <tp t="s">
        <v>-</v>
        <stp/>
        <stp>T&amp;T0</stp>
        <stp>AGAG</stp>
        <stp>46</stp>
        <tr r="G49" s="1"/>
      </tp>
      <tp t="s">
        <v>-</v>
        <stp/>
        <stp>T&amp;T0</stp>
        <stp>AGAG</stp>
        <stp>41</stp>
        <tr r="G44" s="1"/>
      </tp>
      <tp t="s">
        <v>-</v>
        <stp/>
        <stp>T&amp;T0</stp>
        <stp>AGAG</stp>
        <stp>40</stp>
        <tr r="G43" s="1"/>
      </tp>
      <tp t="s">
        <v>-</v>
        <stp/>
        <stp>T&amp;T0</stp>
        <stp>AGAG</stp>
        <stp>43</stp>
        <tr r="G46" s="1"/>
      </tp>
      <tp t="s">
        <v>-</v>
        <stp/>
        <stp>T&amp;T0</stp>
        <stp>AGAG</stp>
        <stp>42</stp>
        <tr r="G45" s="1"/>
      </tp>
      <tp t="s">
        <v>-</v>
        <stp/>
        <stp>T&amp;T0</stp>
        <stp>AGAG</stp>
        <stp>49</stp>
        <tr r="G52" s="1"/>
      </tp>
      <tp t="s">
        <v>-</v>
        <stp/>
        <stp>T&amp;T0</stp>
        <stp>AGAG</stp>
        <stp>48</stp>
        <tr r="G51" s="1"/>
      </tp>
      <tp t="s">
        <v>-</v>
        <stp/>
        <stp>T&amp;T0</stp>
        <stp>AVD</stp>
        <stp>9</stp>
        <tr r="E12" s="1"/>
      </tp>
      <tp t="s">
        <v>-</v>
        <stp/>
        <stp>T&amp;T0</stp>
        <stp>AVD</stp>
        <stp>8</stp>
        <tr r="E11" s="1"/>
      </tp>
      <tp t="s">
        <v>-</v>
        <stp/>
        <stp>T&amp;T0</stp>
        <stp>AVD</stp>
        <stp>3</stp>
        <tr r="E6" s="1"/>
      </tp>
      <tp t="s">
        <v>-</v>
        <stp/>
        <stp>T&amp;T0</stp>
        <stp>AVD</stp>
        <stp>2</stp>
        <tr r="E5" s="1"/>
      </tp>
      <tp t="s">
        <v>-</v>
        <stp/>
        <stp>T&amp;T0</stp>
        <stp>AVD</stp>
        <stp>1</stp>
        <tr r="E4" s="1"/>
      </tp>
      <tp t="s">
        <v>-</v>
        <stp/>
        <stp>T&amp;T0</stp>
        <stp>AVD</stp>
        <stp>0</stp>
        <tr r="E3" s="1"/>
      </tp>
      <tp t="s">
        <v>-</v>
        <stp/>
        <stp>T&amp;T0</stp>
        <stp>AVD</stp>
        <stp>7</stp>
        <tr r="E10" s="1"/>
      </tp>
      <tp t="s">
        <v>-</v>
        <stp/>
        <stp>T&amp;T0</stp>
        <stp>AVD</stp>
        <stp>6</stp>
        <tr r="E9" s="1"/>
      </tp>
      <tp t="s">
        <v>-</v>
        <stp/>
        <stp>T&amp;T0</stp>
        <stp>AVD</stp>
        <stp>5</stp>
        <tr r="E8" s="1"/>
      </tp>
      <tp t="s">
        <v>-</v>
        <stp/>
        <stp>T&amp;T0</stp>
        <stp>AVD</stp>
        <stp>4</stp>
        <tr r="E7" s="1"/>
      </tp>
      <tp>
        <v>0</v>
        <stp/>
        <stp>T&amp;T0</stp>
        <stp>PRE</stp>
        <stp>8</stp>
        <tr r="C11" s="1"/>
      </tp>
      <tp>
        <v>0</v>
        <stp/>
        <stp>T&amp;T0</stp>
        <stp>PRE</stp>
        <stp>9</stp>
        <tr r="C12" s="1"/>
      </tp>
      <tp>
        <v>0</v>
        <stp/>
        <stp>T&amp;T0</stp>
        <stp>PRE</stp>
        <stp>2</stp>
        <tr r="C5" s="1"/>
      </tp>
      <tp>
        <v>0</v>
        <stp/>
        <stp>T&amp;T0</stp>
        <stp>PRE</stp>
        <stp>3</stp>
        <tr r="C6" s="1"/>
      </tp>
      <tp>
        <v>0</v>
        <stp/>
        <stp>T&amp;T0</stp>
        <stp>PRE</stp>
        <stp>0</stp>
        <tr r="C3" s="1"/>
      </tp>
      <tp>
        <v>0</v>
        <stp/>
        <stp>T&amp;T0</stp>
        <stp>PRE</stp>
        <stp>1</stp>
        <tr r="C4" s="1"/>
      </tp>
      <tp>
        <v>0</v>
        <stp/>
        <stp>T&amp;T0</stp>
        <stp>PRE</stp>
        <stp>6</stp>
        <tr r="C9" s="1"/>
      </tp>
      <tp>
        <v>0</v>
        <stp/>
        <stp>T&amp;T0</stp>
        <stp>PRE</stp>
        <stp>7</stp>
        <tr r="C10" s="1"/>
      </tp>
      <tp>
        <v>0</v>
        <stp/>
        <stp>T&amp;T0</stp>
        <stp>PRE</stp>
        <stp>4</stp>
        <tr r="C7" s="1"/>
      </tp>
      <tp>
        <v>0</v>
        <stp/>
        <stp>T&amp;T0</stp>
        <stp>PRE</stp>
        <stp>5</stp>
        <tr r="C8" s="1"/>
      </tp>
      <tp>
        <v>0</v>
        <stp/>
        <stp>T&amp;T0</stp>
        <stp>QUL</stp>
        <stp>9</stp>
        <tr r="D12" s="1"/>
      </tp>
      <tp>
        <v>0</v>
        <stp/>
        <stp>T&amp;T0</stp>
        <stp>QUL</stp>
        <stp>8</stp>
        <tr r="D11" s="1"/>
      </tp>
      <tp>
        <v>0</v>
        <stp/>
        <stp>T&amp;T0</stp>
        <stp>QUL</stp>
        <stp>3</stp>
        <tr r="D6" s="1"/>
      </tp>
      <tp>
        <v>0</v>
        <stp/>
        <stp>T&amp;T0</stp>
        <stp>QUL</stp>
        <stp>2</stp>
        <tr r="D5" s="1"/>
      </tp>
      <tp>
        <v>0</v>
        <stp/>
        <stp>T&amp;T0</stp>
        <stp>QUL</stp>
        <stp>1</stp>
        <tr r="D4" s="1"/>
      </tp>
      <tp>
        <v>0</v>
        <stp/>
        <stp>T&amp;T0</stp>
        <stp>QUL</stp>
        <stp>0</stp>
        <tr r="D3" s="1"/>
      </tp>
      <tp>
        <v>0</v>
        <stp/>
        <stp>T&amp;T0</stp>
        <stp>QUL</stp>
        <stp>7</stp>
        <tr r="D10" s="1"/>
      </tp>
      <tp>
        <v>0</v>
        <stp/>
        <stp>T&amp;T0</stp>
        <stp>QUL</stp>
        <stp>6</stp>
        <tr r="D9" s="1"/>
      </tp>
      <tp>
        <v>0</v>
        <stp/>
        <stp>T&amp;T0</stp>
        <stp>QUL</stp>
        <stp>5</stp>
        <tr r="D8" s="1"/>
      </tp>
      <tp>
        <v>0</v>
        <stp/>
        <stp>T&amp;T0</stp>
        <stp>QUL</stp>
        <stp>4</stp>
        <tr r="D7" s="1"/>
      </tp>
      <tp>
        <v>5261</v>
        <stp/>
        <stp>WDOX26_F_0</stp>
        <stp>ULT</stp>
        <tr r="C1" s="1"/>
      </tp>
      <tp>
        <v>0</v>
        <stp/>
        <stp>T&amp;T0</stp>
        <stp>QUL</stp>
        <stp>398</stp>
        <tr r="D401" s="1"/>
      </tp>
      <tp>
        <v>0</v>
        <stp/>
        <stp>T&amp;T0</stp>
        <stp>QUL</stp>
        <stp>399</stp>
        <tr r="D402" s="1"/>
      </tp>
      <tp>
        <v>0</v>
        <stp/>
        <stp>T&amp;T0</stp>
        <stp>QUL</stp>
        <stp>390</stp>
        <tr r="D393" s="1"/>
      </tp>
      <tp>
        <v>0</v>
        <stp/>
        <stp>T&amp;T0</stp>
        <stp>QUL</stp>
        <stp>391</stp>
        <tr r="D394" s="1"/>
      </tp>
      <tp>
        <v>0</v>
        <stp/>
        <stp>T&amp;T0</stp>
        <stp>QUL</stp>
        <stp>392</stp>
        <tr r="D395" s="1"/>
      </tp>
      <tp>
        <v>0</v>
        <stp/>
        <stp>T&amp;T0</stp>
        <stp>QUL</stp>
        <stp>393</stp>
        <tr r="D396" s="1"/>
      </tp>
      <tp>
        <v>0</v>
        <stp/>
        <stp>T&amp;T0</stp>
        <stp>QUL</stp>
        <stp>394</stp>
        <tr r="D397" s="1"/>
      </tp>
      <tp>
        <v>0</v>
        <stp/>
        <stp>T&amp;T0</stp>
        <stp>QUL</stp>
        <stp>395</stp>
        <tr r="D398" s="1"/>
      </tp>
      <tp>
        <v>0</v>
        <stp/>
        <stp>T&amp;T0</stp>
        <stp>QUL</stp>
        <stp>396</stp>
        <tr r="D399" s="1"/>
      </tp>
      <tp>
        <v>0</v>
        <stp/>
        <stp>T&amp;T0</stp>
        <stp>QUL</stp>
        <stp>397</stp>
        <tr r="D400" s="1"/>
      </tp>
      <tp>
        <v>0</v>
        <stp/>
        <stp>T&amp;T0</stp>
        <stp>QUL</stp>
        <stp>388</stp>
        <tr r="D391" s="1"/>
      </tp>
      <tp>
        <v>0</v>
        <stp/>
        <stp>T&amp;T0</stp>
        <stp>QUL</stp>
        <stp>389</stp>
        <tr r="D392" s="1"/>
      </tp>
      <tp>
        <v>0</v>
        <stp/>
        <stp>T&amp;T0</stp>
        <stp>QUL</stp>
        <stp>380</stp>
        <tr r="D383" s="1"/>
      </tp>
      <tp>
        <v>0</v>
        <stp/>
        <stp>T&amp;T0</stp>
        <stp>QUL</stp>
        <stp>381</stp>
        <tr r="D384" s="1"/>
      </tp>
      <tp>
        <v>0</v>
        <stp/>
        <stp>T&amp;T0</stp>
        <stp>QUL</stp>
        <stp>382</stp>
        <tr r="D385" s="1"/>
      </tp>
      <tp>
        <v>0</v>
        <stp/>
        <stp>T&amp;T0</stp>
        <stp>QUL</stp>
        <stp>383</stp>
        <tr r="D386" s="1"/>
      </tp>
      <tp>
        <v>0</v>
        <stp/>
        <stp>T&amp;T0</stp>
        <stp>QUL</stp>
        <stp>384</stp>
        <tr r="D387" s="1"/>
      </tp>
      <tp>
        <v>0</v>
        <stp/>
        <stp>T&amp;T0</stp>
        <stp>QUL</stp>
        <stp>385</stp>
        <tr r="D388" s="1"/>
      </tp>
      <tp>
        <v>0</v>
        <stp/>
        <stp>T&amp;T0</stp>
        <stp>QUL</stp>
        <stp>386</stp>
        <tr r="D389" s="1"/>
      </tp>
      <tp>
        <v>0</v>
        <stp/>
        <stp>T&amp;T0</stp>
        <stp>QUL</stp>
        <stp>387</stp>
        <tr r="D390" s="1"/>
      </tp>
      <tp>
        <v>0</v>
        <stp/>
        <stp>T&amp;T0</stp>
        <stp>PRE</stp>
        <stp>281</stp>
        <tr r="C284" s="1"/>
      </tp>
      <tp>
        <v>0</v>
        <stp/>
        <stp>T&amp;T0</stp>
        <stp>PRE</stp>
        <stp>280</stp>
        <tr r="C283" s="1"/>
      </tp>
      <tp>
        <v>0</v>
        <stp/>
        <stp>T&amp;T0</stp>
        <stp>PRE</stp>
        <stp>283</stp>
        <tr r="C286" s="1"/>
      </tp>
      <tp>
        <v>0</v>
        <stp/>
        <stp>T&amp;T0</stp>
        <stp>PRE</stp>
        <stp>282</stp>
        <tr r="C285" s="1"/>
      </tp>
      <tp>
        <v>0</v>
        <stp/>
        <stp>T&amp;T0</stp>
        <stp>PRE</stp>
        <stp>285</stp>
        <tr r="C288" s="1"/>
      </tp>
      <tp>
        <v>0</v>
        <stp/>
        <stp>T&amp;T0</stp>
        <stp>PRE</stp>
        <stp>284</stp>
        <tr r="C287" s="1"/>
      </tp>
      <tp>
        <v>0</v>
        <stp/>
        <stp>T&amp;T0</stp>
        <stp>PRE</stp>
        <stp>287</stp>
        <tr r="C290" s="1"/>
      </tp>
      <tp>
        <v>0</v>
        <stp/>
        <stp>T&amp;T0</stp>
        <stp>PRE</stp>
        <stp>286</stp>
        <tr r="C289" s="1"/>
      </tp>
      <tp>
        <v>0</v>
        <stp/>
        <stp>T&amp;T0</stp>
        <stp>PRE</stp>
        <stp>289</stp>
        <tr r="C292" s="1"/>
      </tp>
      <tp>
        <v>0</v>
        <stp/>
        <stp>T&amp;T0</stp>
        <stp>PRE</stp>
        <stp>288</stp>
        <tr r="C291" s="1"/>
      </tp>
      <tp>
        <v>0</v>
        <stp/>
        <stp>T&amp;T0</stp>
        <stp>PRE</stp>
        <stp>291</stp>
        <tr r="C294" s="1"/>
      </tp>
      <tp>
        <v>0</v>
        <stp/>
        <stp>T&amp;T0</stp>
        <stp>PRE</stp>
        <stp>290</stp>
        <tr r="C293" s="1"/>
      </tp>
      <tp>
        <v>0</v>
        <stp/>
        <stp>T&amp;T0</stp>
        <stp>PRE</stp>
        <stp>293</stp>
        <tr r="C296" s="1"/>
      </tp>
      <tp>
        <v>0</v>
        <stp/>
        <stp>T&amp;T0</stp>
        <stp>PRE</stp>
        <stp>292</stp>
        <tr r="C295" s="1"/>
      </tp>
      <tp>
        <v>0</v>
        <stp/>
        <stp>T&amp;T0</stp>
        <stp>PRE</stp>
        <stp>295</stp>
        <tr r="C298" s="1"/>
      </tp>
      <tp>
        <v>0</v>
        <stp/>
        <stp>T&amp;T0</stp>
        <stp>PRE</stp>
        <stp>294</stp>
        <tr r="C297" s="1"/>
      </tp>
      <tp>
        <v>0</v>
        <stp/>
        <stp>T&amp;T0</stp>
        <stp>PRE</stp>
        <stp>297</stp>
        <tr r="C300" s="1"/>
      </tp>
      <tp>
        <v>0</v>
        <stp/>
        <stp>T&amp;T0</stp>
        <stp>PRE</stp>
        <stp>296</stp>
        <tr r="C299" s="1"/>
      </tp>
      <tp>
        <v>0</v>
        <stp/>
        <stp>T&amp;T0</stp>
        <stp>PRE</stp>
        <stp>299</stp>
        <tr r="C302" s="1"/>
      </tp>
      <tp>
        <v>0</v>
        <stp/>
        <stp>T&amp;T0</stp>
        <stp>PRE</stp>
        <stp>298</stp>
        <tr r="C301" s="1"/>
      </tp>
      <tp>
        <v>0</v>
        <stp/>
        <stp>T&amp;T0</stp>
        <stp>PRE</stp>
        <stp>261</stp>
        <tr r="C264" s="1"/>
      </tp>
      <tp>
        <v>0</v>
        <stp/>
        <stp>T&amp;T0</stp>
        <stp>QUL</stp>
        <stp>318</stp>
        <tr r="D321" s="1"/>
      </tp>
      <tp>
        <v>0</v>
        <stp/>
        <stp>T&amp;T0</stp>
        <stp>PRE</stp>
        <stp>260</stp>
        <tr r="C263" s="1"/>
      </tp>
      <tp>
        <v>0</v>
        <stp/>
        <stp>T&amp;T0</stp>
        <stp>QUL</stp>
        <stp>319</stp>
        <tr r="D322" s="1"/>
      </tp>
      <tp>
        <v>0</v>
        <stp/>
        <stp>T&amp;T0</stp>
        <stp>PRE</stp>
        <stp>263</stp>
        <tr r="C266" s="1"/>
      </tp>
      <tp>
        <v>0</v>
        <stp/>
        <stp>T&amp;T0</stp>
        <stp>PRE</stp>
        <stp>262</stp>
        <tr r="C265" s="1"/>
      </tp>
      <tp>
        <v>0</v>
        <stp/>
        <stp>T&amp;T0</stp>
        <stp>PRE</stp>
        <stp>265</stp>
        <tr r="C268" s="1"/>
      </tp>
      <tp>
        <v>0</v>
        <stp/>
        <stp>T&amp;T0</stp>
        <stp>PRE</stp>
        <stp>264</stp>
        <tr r="C267" s="1"/>
      </tp>
      <tp>
        <v>0</v>
        <stp/>
        <stp>T&amp;T0</stp>
        <stp>PRE</stp>
        <stp>267</stp>
        <tr r="C270" s="1"/>
      </tp>
      <tp>
        <v>0</v>
        <stp/>
        <stp>T&amp;T0</stp>
        <stp>PRE</stp>
        <stp>266</stp>
        <tr r="C269" s="1"/>
      </tp>
      <tp>
        <v>0</v>
        <stp/>
        <stp>T&amp;T0</stp>
        <stp>PRE</stp>
        <stp>269</stp>
        <tr r="C272" s="1"/>
      </tp>
      <tp>
        <v>0</v>
        <stp/>
        <stp>T&amp;T0</stp>
        <stp>QUL</stp>
        <stp>310</stp>
        <tr r="D313" s="1"/>
      </tp>
      <tp>
        <v>0</v>
        <stp/>
        <stp>T&amp;T0</stp>
        <stp>PRE</stp>
        <stp>268</stp>
        <tr r="C271" s="1"/>
      </tp>
      <tp>
        <v>0</v>
        <stp/>
        <stp>T&amp;T0</stp>
        <stp>QUL</stp>
        <stp>311</stp>
        <tr r="D314" s="1"/>
      </tp>
      <tp>
        <v>0</v>
        <stp/>
        <stp>T&amp;T0</stp>
        <stp>QUL</stp>
        <stp>312</stp>
        <tr r="D315" s="1"/>
      </tp>
      <tp>
        <v>0</v>
        <stp/>
        <stp>T&amp;T0</stp>
        <stp>QUL</stp>
        <stp>313</stp>
        <tr r="D316" s="1"/>
      </tp>
      <tp>
        <v>0</v>
        <stp/>
        <stp>T&amp;T0</stp>
        <stp>QUL</stp>
        <stp>314</stp>
        <tr r="D317" s="1"/>
      </tp>
      <tp>
        <v>0</v>
        <stp/>
        <stp>T&amp;T0</stp>
        <stp>QUL</stp>
        <stp>315</stp>
        <tr r="D318" s="1"/>
      </tp>
      <tp>
        <v>0</v>
        <stp/>
        <stp>T&amp;T0</stp>
        <stp>QUL</stp>
        <stp>316</stp>
        <tr r="D319" s="1"/>
      </tp>
      <tp>
        <v>0</v>
        <stp/>
        <stp>T&amp;T0</stp>
        <stp>QUL</stp>
        <stp>317</stp>
        <tr r="D320" s="1"/>
      </tp>
      <tp>
        <v>0</v>
        <stp/>
        <stp>T&amp;T0</stp>
        <stp>PRE</stp>
        <stp>271</stp>
        <tr r="C274" s="1"/>
      </tp>
      <tp>
        <v>0</v>
        <stp/>
        <stp>T&amp;T0</stp>
        <stp>QUL</stp>
        <stp>308</stp>
        <tr r="D311" s="1"/>
      </tp>
      <tp>
        <v>0</v>
        <stp/>
        <stp>T&amp;T0</stp>
        <stp>PRE</stp>
        <stp>270</stp>
        <tr r="C273" s="1"/>
      </tp>
      <tp>
        <v>0</v>
        <stp/>
        <stp>T&amp;T0</stp>
        <stp>QUL</stp>
        <stp>309</stp>
        <tr r="D312" s="1"/>
      </tp>
      <tp>
        <v>0</v>
        <stp/>
        <stp>T&amp;T0</stp>
        <stp>PRE</stp>
        <stp>273</stp>
        <tr r="C276" s="1"/>
      </tp>
      <tp>
        <v>0</v>
        <stp/>
        <stp>T&amp;T0</stp>
        <stp>PRE</stp>
        <stp>272</stp>
        <tr r="C275" s="1"/>
      </tp>
      <tp>
        <v>0</v>
        <stp/>
        <stp>T&amp;T0</stp>
        <stp>PRE</stp>
        <stp>275</stp>
        <tr r="C278" s="1"/>
      </tp>
      <tp>
        <v>0</v>
        <stp/>
        <stp>T&amp;T0</stp>
        <stp>PRE</stp>
        <stp>274</stp>
        <tr r="C277" s="1"/>
      </tp>
      <tp>
        <v>0</v>
        <stp/>
        <stp>T&amp;T0</stp>
        <stp>PRE</stp>
        <stp>277</stp>
        <tr r="C280" s="1"/>
      </tp>
      <tp>
        <v>0</v>
        <stp/>
        <stp>T&amp;T0</stp>
        <stp>PRE</stp>
        <stp>276</stp>
        <tr r="C279" s="1"/>
      </tp>
      <tp>
        <v>0</v>
        <stp/>
        <stp>T&amp;T0</stp>
        <stp>PRE</stp>
        <stp>279</stp>
        <tr r="C282" s="1"/>
      </tp>
      <tp>
        <v>0</v>
        <stp/>
        <stp>T&amp;T0</stp>
        <stp>QUL</stp>
        <stp>300</stp>
        <tr r="D303" s="1"/>
      </tp>
      <tp>
        <v>0</v>
        <stp/>
        <stp>T&amp;T0</stp>
        <stp>PRE</stp>
        <stp>278</stp>
        <tr r="C281" s="1"/>
      </tp>
      <tp>
        <v>0</v>
        <stp/>
        <stp>T&amp;T0</stp>
        <stp>QUL</stp>
        <stp>301</stp>
        <tr r="D304" s="1"/>
      </tp>
      <tp>
        <v>0</v>
        <stp/>
        <stp>T&amp;T0</stp>
        <stp>QUL</stp>
        <stp>302</stp>
        <tr r="D305" s="1"/>
      </tp>
      <tp>
        <v>0</v>
        <stp/>
        <stp>T&amp;T0</stp>
        <stp>QUL</stp>
        <stp>303</stp>
        <tr r="D306" s="1"/>
      </tp>
      <tp>
        <v>0</v>
        <stp/>
        <stp>T&amp;T0</stp>
        <stp>QUL</stp>
        <stp>304</stp>
        <tr r="D307" s="1"/>
      </tp>
      <tp>
        <v>0</v>
        <stp/>
        <stp>T&amp;T0</stp>
        <stp>QUL</stp>
        <stp>305</stp>
        <tr r="D308" s="1"/>
      </tp>
      <tp>
        <v>0</v>
        <stp/>
        <stp>T&amp;T0</stp>
        <stp>QUL</stp>
        <stp>306</stp>
        <tr r="D309" s="1"/>
      </tp>
      <tp>
        <v>0</v>
        <stp/>
        <stp>T&amp;T0</stp>
        <stp>QUL</stp>
        <stp>307</stp>
        <tr r="D310" s="1"/>
      </tp>
      <tp>
        <v>0</v>
        <stp/>
        <stp>T&amp;T0</stp>
        <stp>PRE</stp>
        <stp>241</stp>
        <tr r="C244" s="1"/>
      </tp>
      <tp>
        <v>0</v>
        <stp/>
        <stp>T&amp;T0</stp>
        <stp>QUL</stp>
        <stp>338</stp>
        <tr r="D341" s="1"/>
      </tp>
      <tp>
        <v>0</v>
        <stp/>
        <stp>T&amp;T0</stp>
        <stp>PRE</stp>
        <stp>240</stp>
        <tr r="C243" s="1"/>
      </tp>
      <tp>
        <v>0</v>
        <stp/>
        <stp>T&amp;T0</stp>
        <stp>QUL</stp>
        <stp>339</stp>
        <tr r="D342" s="1"/>
      </tp>
      <tp>
        <v>0</v>
        <stp/>
        <stp>T&amp;T0</stp>
        <stp>PRE</stp>
        <stp>243</stp>
        <tr r="C246" s="1"/>
      </tp>
      <tp>
        <v>0</v>
        <stp/>
        <stp>T&amp;T0</stp>
        <stp>PRE</stp>
        <stp>242</stp>
        <tr r="C245" s="1"/>
      </tp>
      <tp>
        <v>0</v>
        <stp/>
        <stp>T&amp;T0</stp>
        <stp>PRE</stp>
        <stp>245</stp>
        <tr r="C248" s="1"/>
      </tp>
      <tp>
        <v>0</v>
        <stp/>
        <stp>T&amp;T0</stp>
        <stp>PRE</stp>
        <stp>244</stp>
        <tr r="C247" s="1"/>
      </tp>
      <tp>
        <v>0</v>
        <stp/>
        <stp>T&amp;T0</stp>
        <stp>PRE</stp>
        <stp>247</stp>
        <tr r="C250" s="1"/>
      </tp>
      <tp>
        <v>0</v>
        <stp/>
        <stp>T&amp;T0</stp>
        <stp>PRE</stp>
        <stp>246</stp>
        <tr r="C249" s="1"/>
      </tp>
      <tp>
        <v>0</v>
        <stp/>
        <stp>T&amp;T0</stp>
        <stp>PRE</stp>
        <stp>249</stp>
        <tr r="C252" s="1"/>
      </tp>
      <tp>
        <v>0</v>
        <stp/>
        <stp>T&amp;T0</stp>
        <stp>QUL</stp>
        <stp>330</stp>
        <tr r="D333" s="1"/>
      </tp>
      <tp>
        <v>0</v>
        <stp/>
        <stp>T&amp;T0</stp>
        <stp>PRE</stp>
        <stp>248</stp>
        <tr r="C251" s="1"/>
      </tp>
      <tp>
        <v>0</v>
        <stp/>
        <stp>T&amp;T0</stp>
        <stp>QUL</stp>
        <stp>331</stp>
        <tr r="D334" s="1"/>
      </tp>
      <tp>
        <v>0</v>
        <stp/>
        <stp>T&amp;T0</stp>
        <stp>QUL</stp>
        <stp>332</stp>
        <tr r="D335" s="1"/>
      </tp>
      <tp>
        <v>0</v>
        <stp/>
        <stp>T&amp;T0</stp>
        <stp>QUL</stp>
        <stp>333</stp>
        <tr r="D336" s="1"/>
      </tp>
      <tp>
        <v>0</v>
        <stp/>
        <stp>T&amp;T0</stp>
        <stp>QUL</stp>
        <stp>334</stp>
        <tr r="D337" s="1"/>
      </tp>
      <tp>
        <v>0</v>
        <stp/>
        <stp>T&amp;T0</stp>
        <stp>QUL</stp>
        <stp>335</stp>
        <tr r="D338" s="1"/>
      </tp>
      <tp>
        <v>0</v>
        <stp/>
        <stp>T&amp;T0</stp>
        <stp>QUL</stp>
        <stp>336</stp>
        <tr r="D339" s="1"/>
      </tp>
      <tp>
        <v>0</v>
        <stp/>
        <stp>T&amp;T0</stp>
        <stp>QUL</stp>
        <stp>337</stp>
        <tr r="D340" s="1"/>
      </tp>
      <tp>
        <v>0</v>
        <stp/>
        <stp>T&amp;T0</stp>
        <stp>PRE</stp>
        <stp>251</stp>
        <tr r="C254" s="1"/>
      </tp>
      <tp>
        <v>0</v>
        <stp/>
        <stp>T&amp;T0</stp>
        <stp>QUL</stp>
        <stp>328</stp>
        <tr r="D331" s="1"/>
      </tp>
      <tp>
        <v>0</v>
        <stp/>
        <stp>T&amp;T0</stp>
        <stp>PRE</stp>
        <stp>250</stp>
        <tr r="C253" s="1"/>
      </tp>
      <tp>
        <v>0</v>
        <stp/>
        <stp>T&amp;T0</stp>
        <stp>QUL</stp>
        <stp>329</stp>
        <tr r="D332" s="1"/>
      </tp>
      <tp>
        <v>0</v>
        <stp/>
        <stp>T&amp;T0</stp>
        <stp>PRE</stp>
        <stp>253</stp>
        <tr r="C256" s="1"/>
      </tp>
      <tp>
        <v>0</v>
        <stp/>
        <stp>T&amp;T0</stp>
        <stp>PRE</stp>
        <stp>252</stp>
        <tr r="C255" s="1"/>
      </tp>
      <tp>
        <v>0</v>
        <stp/>
        <stp>T&amp;T0</stp>
        <stp>PRE</stp>
        <stp>255</stp>
        <tr r="C258" s="1"/>
      </tp>
      <tp>
        <v>0</v>
        <stp/>
        <stp>T&amp;T0</stp>
        <stp>PRE</stp>
        <stp>254</stp>
        <tr r="C257" s="1"/>
      </tp>
      <tp>
        <v>0</v>
        <stp/>
        <stp>T&amp;T0</stp>
        <stp>PRE</stp>
        <stp>257</stp>
        <tr r="C260" s="1"/>
      </tp>
      <tp>
        <v>0</v>
        <stp/>
        <stp>T&amp;T0</stp>
        <stp>PRE</stp>
        <stp>256</stp>
        <tr r="C259" s="1"/>
      </tp>
      <tp>
        <v>0</v>
        <stp/>
        <stp>T&amp;T0</stp>
        <stp>PRE</stp>
        <stp>259</stp>
        <tr r="C262" s="1"/>
      </tp>
      <tp>
        <v>0</v>
        <stp/>
        <stp>T&amp;T0</stp>
        <stp>QUL</stp>
        <stp>320</stp>
        <tr r="D323" s="1"/>
      </tp>
      <tp>
        <v>0</v>
        <stp/>
        <stp>T&amp;T0</stp>
        <stp>PRE</stp>
        <stp>258</stp>
        <tr r="C261" s="1"/>
      </tp>
      <tp>
        <v>0</v>
        <stp/>
        <stp>T&amp;T0</stp>
        <stp>QUL</stp>
        <stp>321</stp>
        <tr r="D324" s="1"/>
      </tp>
      <tp>
        <v>0</v>
        <stp/>
        <stp>T&amp;T0</stp>
        <stp>QUL</stp>
        <stp>322</stp>
        <tr r="D325" s="1"/>
      </tp>
      <tp>
        <v>0</v>
        <stp/>
        <stp>T&amp;T0</stp>
        <stp>QUL</stp>
        <stp>323</stp>
        <tr r="D326" s="1"/>
      </tp>
      <tp>
        <v>0</v>
        <stp/>
        <stp>T&amp;T0</stp>
        <stp>QUL</stp>
        <stp>324</stp>
        <tr r="D327" s="1"/>
      </tp>
      <tp>
        <v>0</v>
        <stp/>
        <stp>T&amp;T0</stp>
        <stp>QUL</stp>
        <stp>325</stp>
        <tr r="D328" s="1"/>
      </tp>
      <tp>
        <v>0</v>
        <stp/>
        <stp>T&amp;T0</stp>
        <stp>QUL</stp>
        <stp>326</stp>
        <tr r="D329" s="1"/>
      </tp>
      <tp>
        <v>0</v>
        <stp/>
        <stp>T&amp;T0</stp>
        <stp>QUL</stp>
        <stp>327</stp>
        <tr r="D330" s="1"/>
      </tp>
      <tp>
        <v>0</v>
        <stp/>
        <stp>T&amp;T0</stp>
        <stp>PRE</stp>
        <stp>221</stp>
        <tr r="C224" s="1"/>
      </tp>
      <tp>
        <v>0</v>
        <stp/>
        <stp>T&amp;T0</stp>
        <stp>QUL</stp>
        <stp>358</stp>
        <tr r="D361" s="1"/>
      </tp>
      <tp>
        <v>0</v>
        <stp/>
        <stp>T&amp;T0</stp>
        <stp>PRE</stp>
        <stp>220</stp>
        <tr r="C223" s="1"/>
      </tp>
      <tp>
        <v>0</v>
        <stp/>
        <stp>T&amp;T0</stp>
        <stp>QUL</stp>
        <stp>359</stp>
        <tr r="D362" s="1"/>
      </tp>
      <tp>
        <v>0</v>
        <stp/>
        <stp>T&amp;T0</stp>
        <stp>PRE</stp>
        <stp>223</stp>
        <tr r="C226" s="1"/>
      </tp>
      <tp>
        <v>0</v>
        <stp/>
        <stp>T&amp;T0</stp>
        <stp>PRE</stp>
        <stp>222</stp>
        <tr r="C225" s="1"/>
      </tp>
      <tp>
        <v>0</v>
        <stp/>
        <stp>T&amp;T0</stp>
        <stp>PRE</stp>
        <stp>225</stp>
        <tr r="C228" s="1"/>
      </tp>
      <tp>
        <v>0</v>
        <stp/>
        <stp>T&amp;T0</stp>
        <stp>PRE</stp>
        <stp>224</stp>
        <tr r="C227" s="1"/>
      </tp>
      <tp>
        <v>0</v>
        <stp/>
        <stp>T&amp;T0</stp>
        <stp>PRE</stp>
        <stp>227</stp>
        <tr r="C230" s="1"/>
      </tp>
      <tp>
        <v>0</v>
        <stp/>
        <stp>T&amp;T0</stp>
        <stp>PRE</stp>
        <stp>226</stp>
        <tr r="C229" s="1"/>
      </tp>
      <tp>
        <v>0</v>
        <stp/>
        <stp>T&amp;T0</stp>
        <stp>PRE</stp>
        <stp>229</stp>
        <tr r="C232" s="1"/>
      </tp>
      <tp>
        <v>0</v>
        <stp/>
        <stp>T&amp;T0</stp>
        <stp>QUL</stp>
        <stp>350</stp>
        <tr r="D353" s="1"/>
      </tp>
      <tp>
        <v>0</v>
        <stp/>
        <stp>T&amp;T0</stp>
        <stp>PRE</stp>
        <stp>228</stp>
        <tr r="C231" s="1"/>
      </tp>
      <tp>
        <v>0</v>
        <stp/>
        <stp>T&amp;T0</stp>
        <stp>QUL</stp>
        <stp>351</stp>
        <tr r="D354" s="1"/>
      </tp>
      <tp>
        <v>0</v>
        <stp/>
        <stp>T&amp;T0</stp>
        <stp>QUL</stp>
        <stp>352</stp>
        <tr r="D355" s="1"/>
      </tp>
      <tp>
        <v>0</v>
        <stp/>
        <stp>T&amp;T0</stp>
        <stp>QUL</stp>
        <stp>353</stp>
        <tr r="D356" s="1"/>
      </tp>
      <tp>
        <v>0</v>
        <stp/>
        <stp>T&amp;T0</stp>
        <stp>QUL</stp>
        <stp>354</stp>
        <tr r="D357" s="1"/>
      </tp>
      <tp>
        <v>0</v>
        <stp/>
        <stp>T&amp;T0</stp>
        <stp>QUL</stp>
        <stp>355</stp>
        <tr r="D358" s="1"/>
      </tp>
      <tp>
        <v>0</v>
        <stp/>
        <stp>T&amp;T0</stp>
        <stp>QUL</stp>
        <stp>356</stp>
        <tr r="D359" s="1"/>
      </tp>
      <tp>
        <v>0</v>
        <stp/>
        <stp>T&amp;T0</stp>
        <stp>QUL</stp>
        <stp>357</stp>
        <tr r="D360" s="1"/>
      </tp>
      <tp>
        <v>0</v>
        <stp/>
        <stp>T&amp;T0</stp>
        <stp>PRE</stp>
        <stp>231</stp>
        <tr r="C234" s="1"/>
      </tp>
      <tp>
        <v>0</v>
        <stp/>
        <stp>T&amp;T0</stp>
        <stp>QUL</stp>
        <stp>348</stp>
        <tr r="D351" s="1"/>
      </tp>
      <tp>
        <v>0</v>
        <stp/>
        <stp>T&amp;T0</stp>
        <stp>PRE</stp>
        <stp>230</stp>
        <tr r="C233" s="1"/>
      </tp>
      <tp>
        <v>0</v>
        <stp/>
        <stp>T&amp;T0</stp>
        <stp>QUL</stp>
        <stp>349</stp>
        <tr r="D352" s="1"/>
      </tp>
      <tp>
        <v>0</v>
        <stp/>
        <stp>T&amp;T0</stp>
        <stp>PRE</stp>
        <stp>233</stp>
        <tr r="C236" s="1"/>
      </tp>
      <tp>
        <v>0</v>
        <stp/>
        <stp>T&amp;T0</stp>
        <stp>PRE</stp>
        <stp>232</stp>
        <tr r="C235" s="1"/>
      </tp>
      <tp>
        <v>0</v>
        <stp/>
        <stp>T&amp;T0</stp>
        <stp>PRE</stp>
        <stp>235</stp>
        <tr r="C238" s="1"/>
      </tp>
      <tp>
        <v>0</v>
        <stp/>
        <stp>T&amp;T0</stp>
        <stp>PRE</stp>
        <stp>234</stp>
        <tr r="C237" s="1"/>
      </tp>
      <tp>
        <v>0</v>
        <stp/>
        <stp>T&amp;T0</stp>
        <stp>PRE</stp>
        <stp>237</stp>
        <tr r="C240" s="1"/>
      </tp>
      <tp>
        <v>0</v>
        <stp/>
        <stp>T&amp;T0</stp>
        <stp>PRE</stp>
        <stp>236</stp>
        <tr r="C239" s="1"/>
      </tp>
      <tp>
        <v>0</v>
        <stp/>
        <stp>T&amp;T0</stp>
        <stp>PRE</stp>
        <stp>239</stp>
        <tr r="C242" s="1"/>
      </tp>
      <tp>
        <v>0</v>
        <stp/>
        <stp>T&amp;T0</stp>
        <stp>QUL</stp>
        <stp>340</stp>
        <tr r="D343" s="1"/>
      </tp>
      <tp>
        <v>0</v>
        <stp/>
        <stp>T&amp;T0</stp>
        <stp>PRE</stp>
        <stp>238</stp>
        <tr r="C241" s="1"/>
      </tp>
      <tp>
        <v>0</v>
        <stp/>
        <stp>T&amp;T0</stp>
        <stp>QUL</stp>
        <stp>341</stp>
        <tr r="D344" s="1"/>
      </tp>
      <tp>
        <v>0</v>
        <stp/>
        <stp>T&amp;T0</stp>
        <stp>QUL</stp>
        <stp>342</stp>
        <tr r="D345" s="1"/>
      </tp>
      <tp>
        <v>0</v>
        <stp/>
        <stp>T&amp;T0</stp>
        <stp>QUL</stp>
        <stp>343</stp>
        <tr r="D346" s="1"/>
      </tp>
      <tp>
        <v>0</v>
        <stp/>
        <stp>T&amp;T0</stp>
        <stp>QUL</stp>
        <stp>344</stp>
        <tr r="D347" s="1"/>
      </tp>
      <tp>
        <v>0</v>
        <stp/>
        <stp>T&amp;T0</stp>
        <stp>QUL</stp>
        <stp>345</stp>
        <tr r="D348" s="1"/>
      </tp>
      <tp>
        <v>0</v>
        <stp/>
        <stp>T&amp;T0</stp>
        <stp>QUL</stp>
        <stp>346</stp>
        <tr r="D349" s="1"/>
      </tp>
      <tp>
        <v>0</v>
        <stp/>
        <stp>T&amp;T0</stp>
        <stp>QUL</stp>
        <stp>347</stp>
        <tr r="D350" s="1"/>
      </tp>
      <tp>
        <v>0</v>
        <stp/>
        <stp>T&amp;T0</stp>
        <stp>PRE</stp>
        <stp>201</stp>
        <tr r="C204" s="1"/>
      </tp>
      <tp>
        <v>0</v>
        <stp/>
        <stp>T&amp;T0</stp>
        <stp>QUL</stp>
        <stp>378</stp>
        <tr r="D381" s="1"/>
      </tp>
      <tp>
        <v>0</v>
        <stp/>
        <stp>T&amp;T0</stp>
        <stp>PRE</stp>
        <stp>200</stp>
        <tr r="C203" s="1"/>
      </tp>
      <tp>
        <v>0</v>
        <stp/>
        <stp>T&amp;T0</stp>
        <stp>QUL</stp>
        <stp>379</stp>
        <tr r="D382" s="1"/>
      </tp>
      <tp>
        <v>0</v>
        <stp/>
        <stp>T&amp;T0</stp>
        <stp>PRE</stp>
        <stp>203</stp>
        <tr r="C206" s="1"/>
      </tp>
      <tp>
        <v>0</v>
        <stp/>
        <stp>T&amp;T0</stp>
        <stp>PRE</stp>
        <stp>202</stp>
        <tr r="C205" s="1"/>
      </tp>
      <tp>
        <v>0</v>
        <stp/>
        <stp>T&amp;T0</stp>
        <stp>PRE</stp>
        <stp>205</stp>
        <tr r="C208" s="1"/>
      </tp>
      <tp>
        <v>0</v>
        <stp/>
        <stp>T&amp;T0</stp>
        <stp>PRE</stp>
        <stp>204</stp>
        <tr r="C207" s="1"/>
      </tp>
      <tp>
        <v>0</v>
        <stp/>
        <stp>T&amp;T0</stp>
        <stp>PRE</stp>
        <stp>207</stp>
        <tr r="C210" s="1"/>
      </tp>
      <tp>
        <v>0</v>
        <stp/>
        <stp>T&amp;T0</stp>
        <stp>PRE</stp>
        <stp>206</stp>
        <tr r="C209" s="1"/>
      </tp>
      <tp>
        <v>0</v>
        <stp/>
        <stp>T&amp;T0</stp>
        <stp>PRE</stp>
        <stp>209</stp>
        <tr r="C212" s="1"/>
      </tp>
      <tp>
        <v>0</v>
        <stp/>
        <stp>T&amp;T0</stp>
        <stp>QUL</stp>
        <stp>370</stp>
        <tr r="D373" s="1"/>
      </tp>
      <tp>
        <v>0</v>
        <stp/>
        <stp>T&amp;T0</stp>
        <stp>PRE</stp>
        <stp>208</stp>
        <tr r="C211" s="1"/>
      </tp>
      <tp>
        <v>0</v>
        <stp/>
        <stp>T&amp;T0</stp>
        <stp>QUL</stp>
        <stp>371</stp>
        <tr r="D374" s="1"/>
      </tp>
      <tp>
        <v>0</v>
        <stp/>
        <stp>T&amp;T0</stp>
        <stp>QUL</stp>
        <stp>372</stp>
        <tr r="D375" s="1"/>
      </tp>
      <tp>
        <v>0</v>
        <stp/>
        <stp>T&amp;T0</stp>
        <stp>QUL</stp>
        <stp>373</stp>
        <tr r="D376" s="1"/>
      </tp>
      <tp>
        <v>0</v>
        <stp/>
        <stp>T&amp;T0</stp>
        <stp>QUL</stp>
        <stp>374</stp>
        <tr r="D377" s="1"/>
      </tp>
      <tp>
        <v>0</v>
        <stp/>
        <stp>T&amp;T0</stp>
        <stp>QUL</stp>
        <stp>375</stp>
        <tr r="D378" s="1"/>
      </tp>
      <tp>
        <v>0</v>
        <stp/>
        <stp>T&amp;T0</stp>
        <stp>QUL</stp>
        <stp>376</stp>
        <tr r="D379" s="1"/>
      </tp>
      <tp>
        <v>0</v>
        <stp/>
        <stp>T&amp;T0</stp>
        <stp>QUL</stp>
        <stp>377</stp>
        <tr r="D380" s="1"/>
      </tp>
      <tp>
        <v>0</v>
        <stp/>
        <stp>T&amp;T0</stp>
        <stp>PRE</stp>
        <stp>211</stp>
        <tr r="C214" s="1"/>
      </tp>
      <tp>
        <v>0</v>
        <stp/>
        <stp>T&amp;T0</stp>
        <stp>QUL</stp>
        <stp>368</stp>
        <tr r="D371" s="1"/>
      </tp>
      <tp>
        <v>0</v>
        <stp/>
        <stp>T&amp;T0</stp>
        <stp>PRE</stp>
        <stp>210</stp>
        <tr r="C213" s="1"/>
      </tp>
      <tp>
        <v>0</v>
        <stp/>
        <stp>T&amp;T0</stp>
        <stp>QUL</stp>
        <stp>369</stp>
        <tr r="D372" s="1"/>
      </tp>
      <tp>
        <v>0</v>
        <stp/>
        <stp>T&amp;T0</stp>
        <stp>PRE</stp>
        <stp>213</stp>
        <tr r="C216" s="1"/>
      </tp>
      <tp>
        <v>0</v>
        <stp/>
        <stp>T&amp;T0</stp>
        <stp>PRE</stp>
        <stp>212</stp>
        <tr r="C215" s="1"/>
      </tp>
      <tp>
        <v>0</v>
        <stp/>
        <stp>T&amp;T0</stp>
        <stp>PRE</stp>
        <stp>215</stp>
        <tr r="C218" s="1"/>
      </tp>
      <tp>
        <v>0</v>
        <stp/>
        <stp>T&amp;T0</stp>
        <stp>PRE</stp>
        <stp>214</stp>
        <tr r="C217" s="1"/>
      </tp>
      <tp>
        <v>0</v>
        <stp/>
        <stp>T&amp;T0</stp>
        <stp>PRE</stp>
        <stp>217</stp>
        <tr r="C220" s="1"/>
      </tp>
      <tp>
        <v>0</v>
        <stp/>
        <stp>T&amp;T0</stp>
        <stp>PRE</stp>
        <stp>216</stp>
        <tr r="C219" s="1"/>
      </tp>
      <tp>
        <v>0</v>
        <stp/>
        <stp>T&amp;T0</stp>
        <stp>PRE</stp>
        <stp>219</stp>
        <tr r="C222" s="1"/>
      </tp>
      <tp>
        <v>0</v>
        <stp/>
        <stp>T&amp;T0</stp>
        <stp>QUL</stp>
        <stp>360</stp>
        <tr r="D363" s="1"/>
      </tp>
      <tp>
        <v>0</v>
        <stp/>
        <stp>T&amp;T0</stp>
        <stp>PRE</stp>
        <stp>218</stp>
        <tr r="C221" s="1"/>
      </tp>
      <tp>
        <v>0</v>
        <stp/>
        <stp>T&amp;T0</stp>
        <stp>QUL</stp>
        <stp>361</stp>
        <tr r="D364" s="1"/>
      </tp>
      <tp>
        <v>0</v>
        <stp/>
        <stp>T&amp;T0</stp>
        <stp>QUL</stp>
        <stp>362</stp>
        <tr r="D365" s="1"/>
      </tp>
      <tp>
        <v>0</v>
        <stp/>
        <stp>T&amp;T0</stp>
        <stp>QUL</stp>
        <stp>363</stp>
        <tr r="D366" s="1"/>
      </tp>
      <tp>
        <v>0</v>
        <stp/>
        <stp>T&amp;T0</stp>
        <stp>QUL</stp>
        <stp>364</stp>
        <tr r="D367" s="1"/>
      </tp>
      <tp>
        <v>0</v>
        <stp/>
        <stp>T&amp;T0</stp>
        <stp>QUL</stp>
        <stp>365</stp>
        <tr r="D368" s="1"/>
      </tp>
      <tp>
        <v>0</v>
        <stp/>
        <stp>T&amp;T0</stp>
        <stp>QUL</stp>
        <stp>366</stp>
        <tr r="D369" s="1"/>
      </tp>
      <tp>
        <v>0</v>
        <stp/>
        <stp>T&amp;T0</stp>
        <stp>QUL</stp>
        <stp>367</stp>
        <tr r="D370" s="1"/>
      </tp>
      <tp>
        <v>0</v>
        <stp/>
        <stp>T&amp;T0</stp>
        <stp>QUL</stp>
        <stp>298</stp>
        <tr r="D301" s="1"/>
      </tp>
      <tp>
        <v>0</v>
        <stp/>
        <stp>T&amp;T0</stp>
        <stp>QUL</stp>
        <stp>299</stp>
        <tr r="D302" s="1"/>
      </tp>
      <tp>
        <v>0</v>
        <stp/>
        <stp>T&amp;T0</stp>
        <stp>QUL</stp>
        <stp>290</stp>
        <tr r="D293" s="1"/>
      </tp>
      <tp>
        <v>0</v>
        <stp/>
        <stp>T&amp;T0</stp>
        <stp>QUL</stp>
        <stp>291</stp>
        <tr r="D294" s="1"/>
      </tp>
      <tp>
        <v>0</v>
        <stp/>
        <stp>T&amp;T0</stp>
        <stp>QUL</stp>
        <stp>292</stp>
        <tr r="D295" s="1"/>
      </tp>
      <tp>
        <v>0</v>
        <stp/>
        <stp>T&amp;T0</stp>
        <stp>QUL</stp>
        <stp>293</stp>
        <tr r="D296" s="1"/>
      </tp>
      <tp>
        <v>0</v>
        <stp/>
        <stp>T&amp;T0</stp>
        <stp>QUL</stp>
        <stp>294</stp>
        <tr r="D297" s="1"/>
      </tp>
      <tp>
        <v>0</v>
        <stp/>
        <stp>T&amp;T0</stp>
        <stp>QUL</stp>
        <stp>295</stp>
        <tr r="D298" s="1"/>
      </tp>
      <tp>
        <v>0</v>
        <stp/>
        <stp>T&amp;T0</stp>
        <stp>QUL</stp>
        <stp>296</stp>
        <tr r="D299" s="1"/>
      </tp>
      <tp>
        <v>0</v>
        <stp/>
        <stp>T&amp;T0</stp>
        <stp>QUL</stp>
        <stp>297</stp>
        <tr r="D300" s="1"/>
      </tp>
      <tp>
        <v>0</v>
        <stp/>
        <stp>T&amp;T0</stp>
        <stp>QUL</stp>
        <stp>288</stp>
        <tr r="D291" s="1"/>
      </tp>
      <tp>
        <v>0</v>
        <stp/>
        <stp>T&amp;T0</stp>
        <stp>QUL</stp>
        <stp>289</stp>
        <tr r="D292" s="1"/>
      </tp>
      <tp>
        <v>0</v>
        <stp/>
        <stp>T&amp;T0</stp>
        <stp>QUL</stp>
        <stp>280</stp>
        <tr r="D283" s="1"/>
      </tp>
      <tp>
        <v>0</v>
        <stp/>
        <stp>T&amp;T0</stp>
        <stp>QUL</stp>
        <stp>281</stp>
        <tr r="D284" s="1"/>
      </tp>
      <tp>
        <v>0</v>
        <stp/>
        <stp>T&amp;T0</stp>
        <stp>QUL</stp>
        <stp>282</stp>
        <tr r="D285" s="1"/>
      </tp>
      <tp>
        <v>0</v>
        <stp/>
        <stp>T&amp;T0</stp>
        <stp>QUL</stp>
        <stp>283</stp>
        <tr r="D286" s="1"/>
      </tp>
      <tp>
        <v>0</v>
        <stp/>
        <stp>T&amp;T0</stp>
        <stp>QUL</stp>
        <stp>284</stp>
        <tr r="D287" s="1"/>
      </tp>
      <tp>
        <v>0</v>
        <stp/>
        <stp>T&amp;T0</stp>
        <stp>QUL</stp>
        <stp>285</stp>
        <tr r="D288" s="1"/>
      </tp>
      <tp>
        <v>0</v>
        <stp/>
        <stp>T&amp;T0</stp>
        <stp>QUL</stp>
        <stp>286</stp>
        <tr r="D289" s="1"/>
      </tp>
      <tp>
        <v>0</v>
        <stp/>
        <stp>T&amp;T0</stp>
        <stp>QUL</stp>
        <stp>287</stp>
        <tr r="D290" s="1"/>
      </tp>
      <tp>
        <v>0</v>
        <stp/>
        <stp>T&amp;T0</stp>
        <stp>PRE</stp>
        <stp>381</stp>
        <tr r="C384" s="1"/>
      </tp>
      <tp>
        <v>0</v>
        <stp/>
        <stp>T&amp;T0</stp>
        <stp>PRE</stp>
        <stp>380</stp>
        <tr r="C383" s="1"/>
      </tp>
      <tp>
        <v>0</v>
        <stp/>
        <stp>T&amp;T0</stp>
        <stp>PRE</stp>
        <stp>383</stp>
        <tr r="C386" s="1"/>
      </tp>
      <tp>
        <v>0</v>
        <stp/>
        <stp>T&amp;T0</stp>
        <stp>PRE</stp>
        <stp>382</stp>
        <tr r="C385" s="1"/>
      </tp>
      <tp>
        <v>0</v>
        <stp/>
        <stp>T&amp;T0</stp>
        <stp>PRE</stp>
        <stp>385</stp>
        <tr r="C388" s="1"/>
      </tp>
      <tp>
        <v>0</v>
        <stp/>
        <stp>T&amp;T0</stp>
        <stp>PRE</stp>
        <stp>384</stp>
        <tr r="C387" s="1"/>
      </tp>
      <tp>
        <v>0</v>
        <stp/>
        <stp>T&amp;T0</stp>
        <stp>PRE</stp>
        <stp>387</stp>
        <tr r="C390" s="1"/>
      </tp>
      <tp>
        <v>0</v>
        <stp/>
        <stp>T&amp;T0</stp>
        <stp>PRE</stp>
        <stp>386</stp>
        <tr r="C389" s="1"/>
      </tp>
      <tp>
        <v>0</v>
        <stp/>
        <stp>T&amp;T0</stp>
        <stp>PRE</stp>
        <stp>389</stp>
        <tr r="C392" s="1"/>
      </tp>
      <tp>
        <v>0</v>
        <stp/>
        <stp>T&amp;T0</stp>
        <stp>PRE</stp>
        <stp>388</stp>
        <tr r="C391" s="1"/>
      </tp>
      <tp>
        <v>0</v>
        <stp/>
        <stp>T&amp;T0</stp>
        <stp>PRE</stp>
        <stp>391</stp>
        <tr r="C394" s="1"/>
      </tp>
      <tp>
        <v>0</v>
        <stp/>
        <stp>T&amp;T0</stp>
        <stp>PRE</stp>
        <stp>390</stp>
        <tr r="C393" s="1"/>
      </tp>
      <tp>
        <v>0</v>
        <stp/>
        <stp>T&amp;T0</stp>
        <stp>PRE</stp>
        <stp>393</stp>
        <tr r="C396" s="1"/>
      </tp>
      <tp>
        <v>0</v>
        <stp/>
        <stp>T&amp;T0</stp>
        <stp>PRE</stp>
        <stp>392</stp>
        <tr r="C395" s="1"/>
      </tp>
      <tp>
        <v>0</v>
        <stp/>
        <stp>T&amp;T0</stp>
        <stp>PRE</stp>
        <stp>395</stp>
        <tr r="C398" s="1"/>
      </tp>
      <tp>
        <v>0</v>
        <stp/>
        <stp>T&amp;T0</stp>
        <stp>PRE</stp>
        <stp>394</stp>
        <tr r="C397" s="1"/>
      </tp>
      <tp>
        <v>0</v>
        <stp/>
        <stp>T&amp;T0</stp>
        <stp>PRE</stp>
        <stp>397</stp>
        <tr r="C400" s="1"/>
      </tp>
      <tp>
        <v>0</v>
        <stp/>
        <stp>T&amp;T0</stp>
        <stp>PRE</stp>
        <stp>396</stp>
        <tr r="C399" s="1"/>
      </tp>
      <tp>
        <v>0</v>
        <stp/>
        <stp>T&amp;T0</stp>
        <stp>PRE</stp>
        <stp>399</stp>
        <tr r="C402" s="1"/>
      </tp>
      <tp>
        <v>0</v>
        <stp/>
        <stp>T&amp;T0</stp>
        <stp>PRE</stp>
        <stp>398</stp>
        <tr r="C401" s="1"/>
      </tp>
      <tp>
        <v>0</v>
        <stp/>
        <stp>T&amp;T0</stp>
        <stp>PRE</stp>
        <stp>361</stp>
        <tr r="C364" s="1"/>
      </tp>
      <tp>
        <v>0</v>
        <stp/>
        <stp>T&amp;T0</stp>
        <stp>QUL</stp>
        <stp>218</stp>
        <tr r="D221" s="1"/>
      </tp>
      <tp>
        <v>0</v>
        <stp/>
        <stp>T&amp;T0</stp>
        <stp>PRE</stp>
        <stp>360</stp>
        <tr r="C363" s="1"/>
      </tp>
      <tp>
        <v>0</v>
        <stp/>
        <stp>T&amp;T0</stp>
        <stp>QUL</stp>
        <stp>219</stp>
        <tr r="D222" s="1"/>
      </tp>
      <tp>
        <v>0</v>
        <stp/>
        <stp>T&amp;T0</stp>
        <stp>PRE</stp>
        <stp>363</stp>
        <tr r="C366" s="1"/>
      </tp>
      <tp>
        <v>0</v>
        <stp/>
        <stp>T&amp;T0</stp>
        <stp>PRE</stp>
        <stp>362</stp>
        <tr r="C365" s="1"/>
      </tp>
      <tp>
        <v>0</v>
        <stp/>
        <stp>T&amp;T0</stp>
        <stp>PRE</stp>
        <stp>365</stp>
        <tr r="C368" s="1"/>
      </tp>
      <tp>
        <v>0</v>
        <stp/>
        <stp>T&amp;T0</stp>
        <stp>PRE</stp>
        <stp>364</stp>
        <tr r="C367" s="1"/>
      </tp>
      <tp>
        <v>0</v>
        <stp/>
        <stp>T&amp;T0</stp>
        <stp>PRE</stp>
        <stp>367</stp>
        <tr r="C370" s="1"/>
      </tp>
      <tp>
        <v>0</v>
        <stp/>
        <stp>T&amp;T0</stp>
        <stp>PRE</stp>
        <stp>366</stp>
        <tr r="C369" s="1"/>
      </tp>
      <tp>
        <v>0</v>
        <stp/>
        <stp>T&amp;T0</stp>
        <stp>PRE</stp>
        <stp>369</stp>
        <tr r="C372" s="1"/>
      </tp>
      <tp>
        <v>0</v>
        <stp/>
        <stp>T&amp;T0</stp>
        <stp>QUL</stp>
        <stp>210</stp>
        <tr r="D213" s="1"/>
      </tp>
      <tp>
        <v>0</v>
        <stp/>
        <stp>T&amp;T0</stp>
        <stp>PRE</stp>
        <stp>368</stp>
        <tr r="C371" s="1"/>
      </tp>
      <tp>
        <v>0</v>
        <stp/>
        <stp>T&amp;T0</stp>
        <stp>QUL</stp>
        <stp>211</stp>
        <tr r="D214" s="1"/>
      </tp>
      <tp>
        <v>0</v>
        <stp/>
        <stp>T&amp;T0</stp>
        <stp>QUL</stp>
        <stp>212</stp>
        <tr r="D215" s="1"/>
      </tp>
      <tp>
        <v>0</v>
        <stp/>
        <stp>T&amp;T0</stp>
        <stp>QUL</stp>
        <stp>213</stp>
        <tr r="D216" s="1"/>
      </tp>
      <tp>
        <v>0</v>
        <stp/>
        <stp>T&amp;T0</stp>
        <stp>QUL</stp>
        <stp>214</stp>
        <tr r="D217" s="1"/>
      </tp>
      <tp>
        <v>0</v>
        <stp/>
        <stp>T&amp;T0</stp>
        <stp>QUL</stp>
        <stp>215</stp>
        <tr r="D218" s="1"/>
      </tp>
      <tp>
        <v>0</v>
        <stp/>
        <stp>T&amp;T0</stp>
        <stp>QUL</stp>
        <stp>216</stp>
        <tr r="D219" s="1"/>
      </tp>
      <tp>
        <v>0</v>
        <stp/>
        <stp>T&amp;T0</stp>
        <stp>QUL</stp>
        <stp>217</stp>
        <tr r="D220" s="1"/>
      </tp>
      <tp>
        <v>0</v>
        <stp/>
        <stp>T&amp;T0</stp>
        <stp>PRE</stp>
        <stp>371</stp>
        <tr r="C374" s="1"/>
      </tp>
      <tp>
        <v>0</v>
        <stp/>
        <stp>T&amp;T0</stp>
        <stp>QUL</stp>
        <stp>208</stp>
        <tr r="D211" s="1"/>
      </tp>
      <tp>
        <v>0</v>
        <stp/>
        <stp>T&amp;T0</stp>
        <stp>PRE</stp>
        <stp>370</stp>
        <tr r="C373" s="1"/>
      </tp>
      <tp>
        <v>0</v>
        <stp/>
        <stp>T&amp;T0</stp>
        <stp>QUL</stp>
        <stp>209</stp>
        <tr r="D212" s="1"/>
      </tp>
      <tp>
        <v>0</v>
        <stp/>
        <stp>T&amp;T0</stp>
        <stp>PRE</stp>
        <stp>373</stp>
        <tr r="C376" s="1"/>
      </tp>
      <tp>
        <v>0</v>
        <stp/>
        <stp>T&amp;T0</stp>
        <stp>PRE</stp>
        <stp>372</stp>
        <tr r="C375" s="1"/>
      </tp>
      <tp>
        <v>0</v>
        <stp/>
        <stp>T&amp;T0</stp>
        <stp>PRE</stp>
        <stp>375</stp>
        <tr r="C378" s="1"/>
      </tp>
      <tp>
        <v>0</v>
        <stp/>
        <stp>T&amp;T0</stp>
        <stp>PRE</stp>
        <stp>374</stp>
        <tr r="C377" s="1"/>
      </tp>
      <tp>
        <v>0</v>
        <stp/>
        <stp>T&amp;T0</stp>
        <stp>PRE</stp>
        <stp>377</stp>
        <tr r="C380" s="1"/>
      </tp>
      <tp>
        <v>0</v>
        <stp/>
        <stp>T&amp;T0</stp>
        <stp>PRE</stp>
        <stp>376</stp>
        <tr r="C379" s="1"/>
      </tp>
      <tp>
        <v>0</v>
        <stp/>
        <stp>T&amp;T0</stp>
        <stp>PRE</stp>
        <stp>379</stp>
        <tr r="C382" s="1"/>
      </tp>
      <tp>
        <v>0</v>
        <stp/>
        <stp>T&amp;T0</stp>
        <stp>QUL</stp>
        <stp>200</stp>
        <tr r="D203" s="1"/>
      </tp>
      <tp>
        <v>0</v>
        <stp/>
        <stp>T&amp;T0</stp>
        <stp>PRE</stp>
        <stp>378</stp>
        <tr r="C381" s="1"/>
      </tp>
      <tp>
        <v>0</v>
        <stp/>
        <stp>T&amp;T0</stp>
        <stp>QUL</stp>
        <stp>201</stp>
        <tr r="D204" s="1"/>
      </tp>
      <tp>
        <v>0</v>
        <stp/>
        <stp>T&amp;T0</stp>
        <stp>QUL</stp>
        <stp>202</stp>
        <tr r="D205" s="1"/>
      </tp>
      <tp>
        <v>0</v>
        <stp/>
        <stp>T&amp;T0</stp>
        <stp>QUL</stp>
        <stp>203</stp>
        <tr r="D206" s="1"/>
      </tp>
      <tp>
        <v>0</v>
        <stp/>
        <stp>T&amp;T0</stp>
        <stp>QUL</stp>
        <stp>204</stp>
        <tr r="D207" s="1"/>
      </tp>
      <tp>
        <v>0</v>
        <stp/>
        <stp>T&amp;T0</stp>
        <stp>QUL</stp>
        <stp>205</stp>
        <tr r="D208" s="1"/>
      </tp>
      <tp>
        <v>0</v>
        <stp/>
        <stp>T&amp;T0</stp>
        <stp>QUL</stp>
        <stp>206</stp>
        <tr r="D209" s="1"/>
      </tp>
      <tp>
        <v>0</v>
        <stp/>
        <stp>T&amp;T0</stp>
        <stp>QUL</stp>
        <stp>207</stp>
        <tr r="D210" s="1"/>
      </tp>
      <tp>
        <v>0</v>
        <stp/>
        <stp>T&amp;T0</stp>
        <stp>PRE</stp>
        <stp>341</stp>
        <tr r="C344" s="1"/>
      </tp>
      <tp>
        <v>0</v>
        <stp/>
        <stp>T&amp;T0</stp>
        <stp>QUL</stp>
        <stp>238</stp>
        <tr r="D241" s="1"/>
      </tp>
      <tp>
        <v>0</v>
        <stp/>
        <stp>T&amp;T0</stp>
        <stp>PRE</stp>
        <stp>340</stp>
        <tr r="C343" s="1"/>
      </tp>
      <tp>
        <v>0</v>
        <stp/>
        <stp>T&amp;T0</stp>
        <stp>QUL</stp>
        <stp>239</stp>
        <tr r="D242" s="1"/>
      </tp>
      <tp>
        <v>0</v>
        <stp/>
        <stp>T&amp;T0</stp>
        <stp>PRE</stp>
        <stp>343</stp>
        <tr r="C346" s="1"/>
      </tp>
      <tp>
        <v>0</v>
        <stp/>
        <stp>T&amp;T0</stp>
        <stp>PRE</stp>
        <stp>342</stp>
        <tr r="C345" s="1"/>
      </tp>
      <tp>
        <v>0</v>
        <stp/>
        <stp>T&amp;T0</stp>
        <stp>PRE</stp>
        <stp>345</stp>
        <tr r="C348" s="1"/>
      </tp>
      <tp>
        <v>0</v>
        <stp/>
        <stp>T&amp;T0</stp>
        <stp>PRE</stp>
        <stp>344</stp>
        <tr r="C347" s="1"/>
      </tp>
      <tp>
        <v>0</v>
        <stp/>
        <stp>T&amp;T0</stp>
        <stp>PRE</stp>
        <stp>347</stp>
        <tr r="C350" s="1"/>
      </tp>
      <tp>
        <v>0</v>
        <stp/>
        <stp>T&amp;T0</stp>
        <stp>PRE</stp>
        <stp>346</stp>
        <tr r="C349" s="1"/>
      </tp>
      <tp>
        <v>0</v>
        <stp/>
        <stp>T&amp;T0</stp>
        <stp>PRE</stp>
        <stp>349</stp>
        <tr r="C352" s="1"/>
      </tp>
      <tp>
        <v>0</v>
        <stp/>
        <stp>T&amp;T0</stp>
        <stp>QUL</stp>
        <stp>230</stp>
        <tr r="D233" s="1"/>
      </tp>
      <tp>
        <v>0</v>
        <stp/>
        <stp>T&amp;T0</stp>
        <stp>PRE</stp>
        <stp>348</stp>
        <tr r="C351" s="1"/>
      </tp>
      <tp>
        <v>0</v>
        <stp/>
        <stp>T&amp;T0</stp>
        <stp>QUL</stp>
        <stp>231</stp>
        <tr r="D234" s="1"/>
      </tp>
      <tp>
        <v>0</v>
        <stp/>
        <stp>T&amp;T0</stp>
        <stp>QUL</stp>
        <stp>232</stp>
        <tr r="D235" s="1"/>
      </tp>
      <tp>
        <v>0</v>
        <stp/>
        <stp>T&amp;T0</stp>
        <stp>QUL</stp>
        <stp>233</stp>
        <tr r="D236" s="1"/>
      </tp>
      <tp>
        <v>0</v>
        <stp/>
        <stp>T&amp;T0</stp>
        <stp>QUL</stp>
        <stp>234</stp>
        <tr r="D237" s="1"/>
      </tp>
      <tp>
        <v>0</v>
        <stp/>
        <stp>T&amp;T0</stp>
        <stp>QUL</stp>
        <stp>235</stp>
        <tr r="D238" s="1"/>
      </tp>
      <tp>
        <v>0</v>
        <stp/>
        <stp>T&amp;T0</stp>
        <stp>QUL</stp>
        <stp>236</stp>
        <tr r="D239" s="1"/>
      </tp>
      <tp>
        <v>0</v>
        <stp/>
        <stp>T&amp;T0</stp>
        <stp>QUL</stp>
        <stp>237</stp>
        <tr r="D240" s="1"/>
      </tp>
      <tp>
        <v>0</v>
        <stp/>
        <stp>T&amp;T0</stp>
        <stp>PRE</stp>
        <stp>351</stp>
        <tr r="C354" s="1"/>
      </tp>
      <tp>
        <v>0</v>
        <stp/>
        <stp>T&amp;T0</stp>
        <stp>QUL</stp>
        <stp>228</stp>
        <tr r="D231" s="1"/>
      </tp>
      <tp>
        <v>0</v>
        <stp/>
        <stp>T&amp;T0</stp>
        <stp>PRE</stp>
        <stp>350</stp>
        <tr r="C353" s="1"/>
      </tp>
      <tp>
        <v>0</v>
        <stp/>
        <stp>T&amp;T0</stp>
        <stp>QUL</stp>
        <stp>229</stp>
        <tr r="D232" s="1"/>
      </tp>
      <tp>
        <v>0</v>
        <stp/>
        <stp>T&amp;T0</stp>
        <stp>PRE</stp>
        <stp>353</stp>
        <tr r="C356" s="1"/>
      </tp>
      <tp>
        <v>0</v>
        <stp/>
        <stp>T&amp;T0</stp>
        <stp>PRE</stp>
        <stp>352</stp>
        <tr r="C355" s="1"/>
      </tp>
      <tp>
        <v>0</v>
        <stp/>
        <stp>T&amp;T0</stp>
        <stp>PRE</stp>
        <stp>355</stp>
        <tr r="C358" s="1"/>
      </tp>
      <tp>
        <v>0</v>
        <stp/>
        <stp>T&amp;T0</stp>
        <stp>PRE</stp>
        <stp>354</stp>
        <tr r="C357" s="1"/>
      </tp>
      <tp>
        <v>0</v>
        <stp/>
        <stp>T&amp;T0</stp>
        <stp>PRE</stp>
        <stp>357</stp>
        <tr r="C360" s="1"/>
      </tp>
      <tp>
        <v>0</v>
        <stp/>
        <stp>T&amp;T0</stp>
        <stp>PRE</stp>
        <stp>356</stp>
        <tr r="C359" s="1"/>
      </tp>
      <tp>
        <v>0</v>
        <stp/>
        <stp>T&amp;T0</stp>
        <stp>PRE</stp>
        <stp>359</stp>
        <tr r="C362" s="1"/>
      </tp>
      <tp>
        <v>0</v>
        <stp/>
        <stp>T&amp;T0</stp>
        <stp>QUL</stp>
        <stp>220</stp>
        <tr r="D223" s="1"/>
      </tp>
      <tp>
        <v>0</v>
        <stp/>
        <stp>T&amp;T0</stp>
        <stp>PRE</stp>
        <stp>358</stp>
        <tr r="C361" s="1"/>
      </tp>
      <tp>
        <v>0</v>
        <stp/>
        <stp>T&amp;T0</stp>
        <stp>QUL</stp>
        <stp>221</stp>
        <tr r="D224" s="1"/>
      </tp>
      <tp>
        <v>0</v>
        <stp/>
        <stp>T&amp;T0</stp>
        <stp>QUL</stp>
        <stp>222</stp>
        <tr r="D225" s="1"/>
      </tp>
      <tp>
        <v>0</v>
        <stp/>
        <stp>T&amp;T0</stp>
        <stp>QUL</stp>
        <stp>223</stp>
        <tr r="D226" s="1"/>
      </tp>
      <tp>
        <v>0</v>
        <stp/>
        <stp>T&amp;T0</stp>
        <stp>QUL</stp>
        <stp>224</stp>
        <tr r="D227" s="1"/>
      </tp>
      <tp>
        <v>0</v>
        <stp/>
        <stp>T&amp;T0</stp>
        <stp>QUL</stp>
        <stp>225</stp>
        <tr r="D228" s="1"/>
      </tp>
      <tp>
        <v>0</v>
        <stp/>
        <stp>T&amp;T0</stp>
        <stp>QUL</stp>
        <stp>226</stp>
        <tr r="D229" s="1"/>
      </tp>
      <tp>
        <v>0</v>
        <stp/>
        <stp>T&amp;T0</stp>
        <stp>QUL</stp>
        <stp>227</stp>
        <tr r="D230" s="1"/>
      </tp>
      <tp>
        <v>0</v>
        <stp/>
        <stp>T&amp;T0</stp>
        <stp>PRE</stp>
        <stp>321</stp>
        <tr r="C324" s="1"/>
      </tp>
      <tp>
        <v>0</v>
        <stp/>
        <stp>T&amp;T0</stp>
        <stp>QUL</stp>
        <stp>258</stp>
        <tr r="D261" s="1"/>
      </tp>
      <tp>
        <v>0</v>
        <stp/>
        <stp>T&amp;T0</stp>
        <stp>PRE</stp>
        <stp>320</stp>
        <tr r="C323" s="1"/>
      </tp>
      <tp>
        <v>0</v>
        <stp/>
        <stp>T&amp;T0</stp>
        <stp>QUL</stp>
        <stp>259</stp>
        <tr r="D262" s="1"/>
      </tp>
      <tp>
        <v>0</v>
        <stp/>
        <stp>T&amp;T0</stp>
        <stp>PRE</stp>
        <stp>323</stp>
        <tr r="C326" s="1"/>
      </tp>
      <tp>
        <v>0</v>
        <stp/>
        <stp>T&amp;T0</stp>
        <stp>PRE</stp>
        <stp>322</stp>
        <tr r="C325" s="1"/>
      </tp>
      <tp>
        <v>0</v>
        <stp/>
        <stp>T&amp;T0</stp>
        <stp>PRE</stp>
        <stp>325</stp>
        <tr r="C328" s="1"/>
      </tp>
      <tp>
        <v>0</v>
        <stp/>
        <stp>T&amp;T0</stp>
        <stp>PRE</stp>
        <stp>324</stp>
        <tr r="C327" s="1"/>
      </tp>
      <tp>
        <v>0</v>
        <stp/>
        <stp>T&amp;T0</stp>
        <stp>PRE</stp>
        <stp>327</stp>
        <tr r="C330" s="1"/>
      </tp>
      <tp>
        <v>0</v>
        <stp/>
        <stp>T&amp;T0</stp>
        <stp>PRE</stp>
        <stp>326</stp>
        <tr r="C329" s="1"/>
      </tp>
      <tp>
        <v>0</v>
        <stp/>
        <stp>T&amp;T0</stp>
        <stp>PRE</stp>
        <stp>329</stp>
        <tr r="C332" s="1"/>
      </tp>
      <tp>
        <v>0</v>
        <stp/>
        <stp>T&amp;T0</stp>
        <stp>QUL</stp>
        <stp>250</stp>
        <tr r="D253" s="1"/>
      </tp>
      <tp>
        <v>0</v>
        <stp/>
        <stp>T&amp;T0</stp>
        <stp>PRE</stp>
        <stp>328</stp>
        <tr r="C331" s="1"/>
      </tp>
      <tp>
        <v>0</v>
        <stp/>
        <stp>T&amp;T0</stp>
        <stp>QUL</stp>
        <stp>251</stp>
        <tr r="D254" s="1"/>
      </tp>
      <tp>
        <v>0</v>
        <stp/>
        <stp>T&amp;T0</stp>
        <stp>QUL</stp>
        <stp>252</stp>
        <tr r="D255" s="1"/>
      </tp>
      <tp>
        <v>0</v>
        <stp/>
        <stp>T&amp;T0</stp>
        <stp>QUL</stp>
        <stp>253</stp>
        <tr r="D256" s="1"/>
      </tp>
      <tp>
        <v>0</v>
        <stp/>
        <stp>T&amp;T0</stp>
        <stp>QUL</stp>
        <stp>254</stp>
        <tr r="D257" s="1"/>
      </tp>
      <tp>
        <v>0</v>
        <stp/>
        <stp>T&amp;T0</stp>
        <stp>QUL</stp>
        <stp>255</stp>
        <tr r="D258" s="1"/>
      </tp>
      <tp>
        <v>0</v>
        <stp/>
        <stp>T&amp;T0</stp>
        <stp>QUL</stp>
        <stp>256</stp>
        <tr r="D259" s="1"/>
      </tp>
      <tp>
        <v>0</v>
        <stp/>
        <stp>T&amp;T0</stp>
        <stp>QUL</stp>
        <stp>257</stp>
        <tr r="D260" s="1"/>
      </tp>
      <tp>
        <v>0</v>
        <stp/>
        <stp>T&amp;T0</stp>
        <stp>PRE</stp>
        <stp>331</stp>
        <tr r="C334" s="1"/>
      </tp>
      <tp>
        <v>0</v>
        <stp/>
        <stp>T&amp;T0</stp>
        <stp>QUL</stp>
        <stp>248</stp>
        <tr r="D251" s="1"/>
      </tp>
      <tp>
        <v>0</v>
        <stp/>
        <stp>T&amp;T0</stp>
        <stp>PRE</stp>
        <stp>330</stp>
        <tr r="C333" s="1"/>
      </tp>
      <tp>
        <v>0</v>
        <stp/>
        <stp>T&amp;T0</stp>
        <stp>QUL</stp>
        <stp>249</stp>
        <tr r="D252" s="1"/>
      </tp>
      <tp>
        <v>0</v>
        <stp/>
        <stp>T&amp;T0</stp>
        <stp>PRE</stp>
        <stp>333</stp>
        <tr r="C336" s="1"/>
      </tp>
      <tp>
        <v>0</v>
        <stp/>
        <stp>T&amp;T0</stp>
        <stp>PRE</stp>
        <stp>332</stp>
        <tr r="C335" s="1"/>
      </tp>
      <tp>
        <v>0</v>
        <stp/>
        <stp>T&amp;T0</stp>
        <stp>PRE</stp>
        <stp>335</stp>
        <tr r="C338" s="1"/>
      </tp>
      <tp>
        <v>0</v>
        <stp/>
        <stp>T&amp;T0</stp>
        <stp>PRE</stp>
        <stp>334</stp>
        <tr r="C337" s="1"/>
      </tp>
      <tp>
        <v>0</v>
        <stp/>
        <stp>T&amp;T0</stp>
        <stp>PRE</stp>
        <stp>337</stp>
        <tr r="C340" s="1"/>
      </tp>
      <tp>
        <v>0</v>
        <stp/>
        <stp>T&amp;T0</stp>
        <stp>PRE</stp>
        <stp>336</stp>
        <tr r="C339" s="1"/>
      </tp>
      <tp>
        <v>0</v>
        <stp/>
        <stp>T&amp;T0</stp>
        <stp>PRE</stp>
        <stp>339</stp>
        <tr r="C342" s="1"/>
      </tp>
      <tp>
        <v>0</v>
        <stp/>
        <stp>T&amp;T0</stp>
        <stp>QUL</stp>
        <stp>240</stp>
        <tr r="D243" s="1"/>
      </tp>
      <tp>
        <v>0</v>
        <stp/>
        <stp>T&amp;T0</stp>
        <stp>PRE</stp>
        <stp>338</stp>
        <tr r="C341" s="1"/>
      </tp>
      <tp>
        <v>0</v>
        <stp/>
        <stp>T&amp;T0</stp>
        <stp>QUL</stp>
        <stp>241</stp>
        <tr r="D244" s="1"/>
      </tp>
      <tp>
        <v>0</v>
        <stp/>
        <stp>T&amp;T0</stp>
        <stp>QUL</stp>
        <stp>242</stp>
        <tr r="D245" s="1"/>
      </tp>
      <tp>
        <v>0</v>
        <stp/>
        <stp>T&amp;T0</stp>
        <stp>QUL</stp>
        <stp>243</stp>
        <tr r="D246" s="1"/>
      </tp>
      <tp>
        <v>0</v>
        <stp/>
        <stp>T&amp;T0</stp>
        <stp>QUL</stp>
        <stp>244</stp>
        <tr r="D247" s="1"/>
      </tp>
      <tp>
        <v>0</v>
        <stp/>
        <stp>T&amp;T0</stp>
        <stp>QUL</stp>
        <stp>245</stp>
        <tr r="D248" s="1"/>
      </tp>
      <tp>
        <v>0</v>
        <stp/>
        <stp>T&amp;T0</stp>
        <stp>QUL</stp>
        <stp>246</stp>
        <tr r="D249" s="1"/>
      </tp>
      <tp>
        <v>0</v>
        <stp/>
        <stp>T&amp;T0</stp>
        <stp>QUL</stp>
        <stp>247</stp>
        <tr r="D250" s="1"/>
      </tp>
      <tp>
        <v>0</v>
        <stp/>
        <stp>T&amp;T0</stp>
        <stp>PRE</stp>
        <stp>301</stp>
        <tr r="C304" s="1"/>
      </tp>
      <tp>
        <v>0</v>
        <stp/>
        <stp>T&amp;T0</stp>
        <stp>QUL</stp>
        <stp>278</stp>
        <tr r="D281" s="1"/>
      </tp>
      <tp>
        <v>0</v>
        <stp/>
        <stp>T&amp;T0</stp>
        <stp>PRE</stp>
        <stp>300</stp>
        <tr r="C303" s="1"/>
      </tp>
      <tp>
        <v>0</v>
        <stp/>
        <stp>T&amp;T0</stp>
        <stp>QUL</stp>
        <stp>279</stp>
        <tr r="D282" s="1"/>
      </tp>
      <tp>
        <v>0</v>
        <stp/>
        <stp>T&amp;T0</stp>
        <stp>PRE</stp>
        <stp>303</stp>
        <tr r="C306" s="1"/>
      </tp>
      <tp>
        <v>0</v>
        <stp/>
        <stp>T&amp;T0</stp>
        <stp>PRE</stp>
        <stp>302</stp>
        <tr r="C305" s="1"/>
      </tp>
      <tp>
        <v>0</v>
        <stp/>
        <stp>T&amp;T0</stp>
        <stp>PRE</stp>
        <stp>305</stp>
        <tr r="C308" s="1"/>
      </tp>
      <tp>
        <v>0</v>
        <stp/>
        <stp>T&amp;T0</stp>
        <stp>PRE</stp>
        <stp>304</stp>
        <tr r="C307" s="1"/>
      </tp>
      <tp>
        <v>0</v>
        <stp/>
        <stp>T&amp;T0</stp>
        <stp>PRE</stp>
        <stp>307</stp>
        <tr r="C310" s="1"/>
      </tp>
      <tp>
        <v>0</v>
        <stp/>
        <stp>T&amp;T0</stp>
        <stp>PRE</stp>
        <stp>306</stp>
        <tr r="C309" s="1"/>
      </tp>
      <tp>
        <v>0</v>
        <stp/>
        <stp>T&amp;T0</stp>
        <stp>PRE</stp>
        <stp>309</stp>
        <tr r="C312" s="1"/>
      </tp>
      <tp>
        <v>0</v>
        <stp/>
        <stp>T&amp;T0</stp>
        <stp>QUL</stp>
        <stp>270</stp>
        <tr r="D273" s="1"/>
      </tp>
      <tp>
        <v>0</v>
        <stp/>
        <stp>T&amp;T0</stp>
        <stp>PRE</stp>
        <stp>308</stp>
        <tr r="C311" s="1"/>
      </tp>
      <tp>
        <v>0</v>
        <stp/>
        <stp>T&amp;T0</stp>
        <stp>QUL</stp>
        <stp>271</stp>
        <tr r="D274" s="1"/>
      </tp>
      <tp>
        <v>0</v>
        <stp/>
        <stp>T&amp;T0</stp>
        <stp>QUL</stp>
        <stp>272</stp>
        <tr r="D275" s="1"/>
      </tp>
      <tp>
        <v>0</v>
        <stp/>
        <stp>T&amp;T0</stp>
        <stp>QUL</stp>
        <stp>273</stp>
        <tr r="D276" s="1"/>
      </tp>
      <tp>
        <v>0</v>
        <stp/>
        <stp>T&amp;T0</stp>
        <stp>QUL</stp>
        <stp>274</stp>
        <tr r="D277" s="1"/>
      </tp>
      <tp>
        <v>0</v>
        <stp/>
        <stp>T&amp;T0</stp>
        <stp>QUL</stp>
        <stp>275</stp>
        <tr r="D278" s="1"/>
      </tp>
      <tp>
        <v>0</v>
        <stp/>
        <stp>T&amp;T0</stp>
        <stp>QUL</stp>
        <stp>276</stp>
        <tr r="D279" s="1"/>
      </tp>
      <tp>
        <v>0</v>
        <stp/>
        <stp>T&amp;T0</stp>
        <stp>QUL</stp>
        <stp>277</stp>
        <tr r="D280" s="1"/>
      </tp>
      <tp>
        <v>0</v>
        <stp/>
        <stp>T&amp;T0</stp>
        <stp>PRE</stp>
        <stp>311</stp>
        <tr r="C314" s="1"/>
      </tp>
      <tp>
        <v>0</v>
        <stp/>
        <stp>T&amp;T0</stp>
        <stp>QUL</stp>
        <stp>268</stp>
        <tr r="D271" s="1"/>
      </tp>
      <tp>
        <v>0</v>
        <stp/>
        <stp>T&amp;T0</stp>
        <stp>PRE</stp>
        <stp>310</stp>
        <tr r="C313" s="1"/>
      </tp>
      <tp>
        <v>0</v>
        <stp/>
        <stp>T&amp;T0</stp>
        <stp>QUL</stp>
        <stp>269</stp>
        <tr r="D272" s="1"/>
      </tp>
      <tp>
        <v>0</v>
        <stp/>
        <stp>T&amp;T0</stp>
        <stp>PRE</stp>
        <stp>313</stp>
        <tr r="C316" s="1"/>
      </tp>
      <tp>
        <v>0</v>
        <stp/>
        <stp>T&amp;T0</stp>
        <stp>PRE</stp>
        <stp>312</stp>
        <tr r="C315" s="1"/>
      </tp>
      <tp>
        <v>0</v>
        <stp/>
        <stp>T&amp;T0</stp>
        <stp>PRE</stp>
        <stp>315</stp>
        <tr r="C318" s="1"/>
      </tp>
      <tp>
        <v>0</v>
        <stp/>
        <stp>T&amp;T0</stp>
        <stp>PRE</stp>
        <stp>314</stp>
        <tr r="C317" s="1"/>
      </tp>
      <tp>
        <v>0</v>
        <stp/>
        <stp>T&amp;T0</stp>
        <stp>PRE</stp>
        <stp>317</stp>
        <tr r="C320" s="1"/>
      </tp>
      <tp>
        <v>0</v>
        <stp/>
        <stp>T&amp;T0</stp>
        <stp>PRE</stp>
        <stp>316</stp>
        <tr r="C319" s="1"/>
      </tp>
      <tp>
        <v>0</v>
        <stp/>
        <stp>T&amp;T0</stp>
        <stp>PRE</stp>
        <stp>319</stp>
        <tr r="C322" s="1"/>
      </tp>
      <tp>
        <v>0</v>
        <stp/>
        <stp>T&amp;T0</stp>
        <stp>QUL</stp>
        <stp>260</stp>
        <tr r="D263" s="1"/>
      </tp>
      <tp>
        <v>0</v>
        <stp/>
        <stp>T&amp;T0</stp>
        <stp>PRE</stp>
        <stp>318</stp>
        <tr r="C321" s="1"/>
      </tp>
      <tp>
        <v>0</v>
        <stp/>
        <stp>T&amp;T0</stp>
        <stp>QUL</stp>
        <stp>261</stp>
        <tr r="D264" s="1"/>
      </tp>
      <tp>
        <v>0</v>
        <stp/>
        <stp>T&amp;T0</stp>
        <stp>QUL</stp>
        <stp>262</stp>
        <tr r="D265" s="1"/>
      </tp>
      <tp>
        <v>0</v>
        <stp/>
        <stp>T&amp;T0</stp>
        <stp>QUL</stp>
        <stp>263</stp>
        <tr r="D266" s="1"/>
      </tp>
      <tp>
        <v>0</v>
        <stp/>
        <stp>T&amp;T0</stp>
        <stp>QUL</stp>
        <stp>264</stp>
        <tr r="D267" s="1"/>
      </tp>
      <tp>
        <v>0</v>
        <stp/>
        <stp>T&amp;T0</stp>
        <stp>QUL</stp>
        <stp>265</stp>
        <tr r="D268" s="1"/>
      </tp>
      <tp>
        <v>0</v>
        <stp/>
        <stp>T&amp;T0</stp>
        <stp>QUL</stp>
        <stp>266</stp>
        <tr r="D269" s="1"/>
      </tp>
      <tp>
        <v>0</v>
        <stp/>
        <stp>T&amp;T0</stp>
        <stp>QUL</stp>
        <stp>267</stp>
        <tr r="D270" s="1"/>
      </tp>
      <tp>
        <v>0</v>
        <stp/>
        <stp>T&amp;T0</stp>
        <stp>QUL</stp>
        <stp>198</stp>
        <tr r="D201" s="1"/>
      </tp>
      <tp>
        <v>0</v>
        <stp/>
        <stp>T&amp;T0</stp>
        <stp>QUL</stp>
        <stp>199</stp>
        <tr r="D202" s="1"/>
      </tp>
      <tp>
        <v>0</v>
        <stp/>
        <stp>T&amp;T0</stp>
        <stp>QUL</stp>
        <stp>190</stp>
        <tr r="D193" s="1"/>
      </tp>
      <tp>
        <v>0</v>
        <stp/>
        <stp>T&amp;T0</stp>
        <stp>QUL</stp>
        <stp>191</stp>
        <tr r="D194" s="1"/>
      </tp>
      <tp>
        <v>0</v>
        <stp/>
        <stp>T&amp;T0</stp>
        <stp>QUL</stp>
        <stp>192</stp>
        <tr r="D195" s="1"/>
      </tp>
      <tp>
        <v>0</v>
        <stp/>
        <stp>T&amp;T0</stp>
        <stp>QUL</stp>
        <stp>193</stp>
        <tr r="D196" s="1"/>
      </tp>
      <tp>
        <v>0</v>
        <stp/>
        <stp>T&amp;T0</stp>
        <stp>QUL</stp>
        <stp>194</stp>
        <tr r="D197" s="1"/>
      </tp>
      <tp>
        <v>0</v>
        <stp/>
        <stp>T&amp;T0</stp>
        <stp>QUL</stp>
        <stp>195</stp>
        <tr r="D198" s="1"/>
      </tp>
      <tp>
        <v>0</v>
        <stp/>
        <stp>T&amp;T0</stp>
        <stp>QUL</stp>
        <stp>196</stp>
        <tr r="D199" s="1"/>
      </tp>
      <tp>
        <v>0</v>
        <stp/>
        <stp>T&amp;T0</stp>
        <stp>QUL</stp>
        <stp>197</stp>
        <tr r="D200" s="1"/>
      </tp>
      <tp>
        <v>0</v>
        <stp/>
        <stp>T&amp;T0</stp>
        <stp>QUL</stp>
        <stp>188</stp>
        <tr r="D191" s="1"/>
      </tp>
      <tp>
        <v>0</v>
        <stp/>
        <stp>T&amp;T0</stp>
        <stp>QUL</stp>
        <stp>189</stp>
        <tr r="D192" s="1"/>
      </tp>
      <tp>
        <v>0</v>
        <stp/>
        <stp>T&amp;T0</stp>
        <stp>QUL</stp>
        <stp>180</stp>
        <tr r="D183" s="1"/>
      </tp>
      <tp>
        <v>0</v>
        <stp/>
        <stp>T&amp;T0</stp>
        <stp>QUL</stp>
        <stp>181</stp>
        <tr r="D184" s="1"/>
      </tp>
      <tp>
        <v>0</v>
        <stp/>
        <stp>T&amp;T0</stp>
        <stp>QUL</stp>
        <stp>182</stp>
        <tr r="D185" s="1"/>
      </tp>
      <tp>
        <v>0</v>
        <stp/>
        <stp>T&amp;T0</stp>
        <stp>QUL</stp>
        <stp>183</stp>
        <tr r="D186" s="1"/>
      </tp>
      <tp>
        <v>0</v>
        <stp/>
        <stp>T&amp;T0</stp>
        <stp>QUL</stp>
        <stp>184</stp>
        <tr r="D187" s="1"/>
      </tp>
      <tp>
        <v>0</v>
        <stp/>
        <stp>T&amp;T0</stp>
        <stp>QUL</stp>
        <stp>185</stp>
        <tr r="D188" s="1"/>
      </tp>
      <tp>
        <v>0</v>
        <stp/>
        <stp>T&amp;T0</stp>
        <stp>QUL</stp>
        <stp>186</stp>
        <tr r="D189" s="1"/>
      </tp>
      <tp>
        <v>0</v>
        <stp/>
        <stp>T&amp;T0</stp>
        <stp>QUL</stp>
        <stp>187</stp>
        <tr r="D190" s="1"/>
      </tp>
      <tp>
        <v>0</v>
        <stp/>
        <stp>T&amp;T0</stp>
        <stp>QUL</stp>
        <stp>118</stp>
        <tr r="D121" s="1"/>
      </tp>
      <tp>
        <v>0</v>
        <stp/>
        <stp>T&amp;T0</stp>
        <stp>QUL</stp>
        <stp>119</stp>
        <tr r="D122" s="1"/>
      </tp>
      <tp>
        <v>0</v>
        <stp/>
        <stp>T&amp;T0</stp>
        <stp>QUL</stp>
        <stp>110</stp>
        <tr r="D113" s="1"/>
      </tp>
      <tp>
        <v>0</v>
        <stp/>
        <stp>T&amp;T0</stp>
        <stp>QUL</stp>
        <stp>111</stp>
        <tr r="D114" s="1"/>
      </tp>
      <tp>
        <v>0</v>
        <stp/>
        <stp>T&amp;T0</stp>
        <stp>QUL</stp>
        <stp>112</stp>
        <tr r="D115" s="1"/>
      </tp>
      <tp>
        <v>0</v>
        <stp/>
        <stp>T&amp;T0</stp>
        <stp>QUL</stp>
        <stp>113</stp>
        <tr r="D116" s="1"/>
      </tp>
      <tp>
        <v>0</v>
        <stp/>
        <stp>T&amp;T0</stp>
        <stp>QUL</stp>
        <stp>114</stp>
        <tr r="D117" s="1"/>
      </tp>
      <tp>
        <v>0</v>
        <stp/>
        <stp>T&amp;T0</stp>
        <stp>QUL</stp>
        <stp>115</stp>
        <tr r="D118" s="1"/>
      </tp>
      <tp>
        <v>0</v>
        <stp/>
        <stp>T&amp;T0</stp>
        <stp>QUL</stp>
        <stp>116</stp>
        <tr r="D119" s="1"/>
      </tp>
      <tp>
        <v>0</v>
        <stp/>
        <stp>T&amp;T0</stp>
        <stp>QUL</stp>
        <stp>117</stp>
        <tr r="D120" s="1"/>
      </tp>
      <tp>
        <v>0</v>
        <stp/>
        <stp>T&amp;T0</stp>
        <stp>QUL</stp>
        <stp>108</stp>
        <tr r="D111" s="1"/>
      </tp>
      <tp>
        <v>0</v>
        <stp/>
        <stp>T&amp;T0</stp>
        <stp>QUL</stp>
        <stp>109</stp>
        <tr r="D112" s="1"/>
      </tp>
      <tp>
        <v>0</v>
        <stp/>
        <stp>T&amp;T0</stp>
        <stp>QUL</stp>
        <stp>100</stp>
        <tr r="D103" s="1"/>
      </tp>
      <tp>
        <v>0</v>
        <stp/>
        <stp>T&amp;T0</stp>
        <stp>QUL</stp>
        <stp>101</stp>
        <tr r="D104" s="1"/>
      </tp>
      <tp>
        <v>0</v>
        <stp/>
        <stp>T&amp;T0</stp>
        <stp>QUL</stp>
        <stp>102</stp>
        <tr r="D105" s="1"/>
      </tp>
      <tp>
        <v>0</v>
        <stp/>
        <stp>T&amp;T0</stp>
        <stp>QUL</stp>
        <stp>103</stp>
        <tr r="D106" s="1"/>
      </tp>
      <tp>
        <v>0</v>
        <stp/>
        <stp>T&amp;T0</stp>
        <stp>QUL</stp>
        <stp>104</stp>
        <tr r="D107" s="1"/>
      </tp>
      <tp>
        <v>0</v>
        <stp/>
        <stp>T&amp;T0</stp>
        <stp>QUL</stp>
        <stp>105</stp>
        <tr r="D108" s="1"/>
      </tp>
      <tp>
        <v>0</v>
        <stp/>
        <stp>T&amp;T0</stp>
        <stp>QUL</stp>
        <stp>106</stp>
        <tr r="D109" s="1"/>
      </tp>
      <tp>
        <v>0</v>
        <stp/>
        <stp>T&amp;T0</stp>
        <stp>QUL</stp>
        <stp>107</stp>
        <tr r="D110" s="1"/>
      </tp>
      <tp>
        <v>0</v>
        <stp/>
        <stp>T&amp;T0</stp>
        <stp>QUL</stp>
        <stp>138</stp>
        <tr r="D141" s="1"/>
      </tp>
      <tp>
        <v>0</v>
        <stp/>
        <stp>T&amp;T0</stp>
        <stp>QUL</stp>
        <stp>139</stp>
        <tr r="D142" s="1"/>
      </tp>
      <tp>
        <v>0</v>
        <stp/>
        <stp>T&amp;T0</stp>
        <stp>QUL</stp>
        <stp>130</stp>
        <tr r="D133" s="1"/>
      </tp>
      <tp>
        <v>0</v>
        <stp/>
        <stp>T&amp;T0</stp>
        <stp>QUL</stp>
        <stp>131</stp>
        <tr r="D134" s="1"/>
      </tp>
      <tp>
        <v>0</v>
        <stp/>
        <stp>T&amp;T0</stp>
        <stp>QUL</stp>
        <stp>132</stp>
        <tr r="D135" s="1"/>
      </tp>
      <tp>
        <v>0</v>
        <stp/>
        <stp>T&amp;T0</stp>
        <stp>QUL</stp>
        <stp>133</stp>
        <tr r="D136" s="1"/>
      </tp>
      <tp>
        <v>0</v>
        <stp/>
        <stp>T&amp;T0</stp>
        <stp>QUL</stp>
        <stp>134</stp>
        <tr r="D137" s="1"/>
      </tp>
      <tp>
        <v>0</v>
        <stp/>
        <stp>T&amp;T0</stp>
        <stp>QUL</stp>
        <stp>135</stp>
        <tr r="D138" s="1"/>
      </tp>
      <tp>
        <v>0</v>
        <stp/>
        <stp>T&amp;T0</stp>
        <stp>QUL</stp>
        <stp>136</stp>
        <tr r="D139" s="1"/>
      </tp>
      <tp>
        <v>0</v>
        <stp/>
        <stp>T&amp;T0</stp>
        <stp>QUL</stp>
        <stp>137</stp>
        <tr r="D140" s="1"/>
      </tp>
      <tp>
        <v>0</v>
        <stp/>
        <stp>T&amp;T0</stp>
        <stp>QUL</stp>
        <stp>128</stp>
        <tr r="D131" s="1"/>
      </tp>
      <tp>
        <v>0</v>
        <stp/>
        <stp>T&amp;T0</stp>
        <stp>QUL</stp>
        <stp>129</stp>
        <tr r="D132" s="1"/>
      </tp>
      <tp>
        <v>0</v>
        <stp/>
        <stp>T&amp;T0</stp>
        <stp>QUL</stp>
        <stp>120</stp>
        <tr r="D123" s="1"/>
      </tp>
      <tp>
        <v>0</v>
        <stp/>
        <stp>T&amp;T0</stp>
        <stp>QUL</stp>
        <stp>121</stp>
        <tr r="D124" s="1"/>
      </tp>
      <tp>
        <v>0</v>
        <stp/>
        <stp>T&amp;T0</stp>
        <stp>QUL</stp>
        <stp>122</stp>
        <tr r="D125" s="1"/>
      </tp>
      <tp>
        <v>0</v>
        <stp/>
        <stp>T&amp;T0</stp>
        <stp>QUL</stp>
        <stp>123</stp>
        <tr r="D126" s="1"/>
      </tp>
      <tp>
        <v>0</v>
        <stp/>
        <stp>T&amp;T0</stp>
        <stp>QUL</stp>
        <stp>124</stp>
        <tr r="D127" s="1"/>
      </tp>
      <tp>
        <v>0</v>
        <stp/>
        <stp>T&amp;T0</stp>
        <stp>QUL</stp>
        <stp>125</stp>
        <tr r="D128" s="1"/>
      </tp>
      <tp>
        <v>0</v>
        <stp/>
        <stp>T&amp;T0</stp>
        <stp>QUL</stp>
        <stp>126</stp>
        <tr r="D129" s="1"/>
      </tp>
      <tp>
        <v>0</v>
        <stp/>
        <stp>T&amp;T0</stp>
        <stp>QUL</stp>
        <stp>127</stp>
        <tr r="D130" s="1"/>
      </tp>
      <tp>
        <v>0</v>
        <stp/>
        <stp>T&amp;T0</stp>
        <stp>QUL</stp>
        <stp>158</stp>
        <tr r="D161" s="1"/>
      </tp>
      <tp>
        <v>0</v>
        <stp/>
        <stp>T&amp;T0</stp>
        <stp>QUL</stp>
        <stp>159</stp>
        <tr r="D162" s="1"/>
      </tp>
      <tp>
        <v>0</v>
        <stp/>
        <stp>T&amp;T0</stp>
        <stp>QUL</stp>
        <stp>150</stp>
        <tr r="D153" s="1"/>
      </tp>
      <tp>
        <v>0</v>
        <stp/>
        <stp>T&amp;T0</stp>
        <stp>QUL</stp>
        <stp>151</stp>
        <tr r="D154" s="1"/>
      </tp>
      <tp>
        <v>0</v>
        <stp/>
        <stp>T&amp;T0</stp>
        <stp>QUL</stp>
        <stp>152</stp>
        <tr r="D155" s="1"/>
      </tp>
      <tp>
        <v>0</v>
        <stp/>
        <stp>T&amp;T0</stp>
        <stp>QUL</stp>
        <stp>153</stp>
        <tr r="D156" s="1"/>
      </tp>
      <tp>
        <v>0</v>
        <stp/>
        <stp>T&amp;T0</stp>
        <stp>QUL</stp>
        <stp>154</stp>
        <tr r="D157" s="1"/>
      </tp>
      <tp>
        <v>0</v>
        <stp/>
        <stp>T&amp;T0</stp>
        <stp>QUL</stp>
        <stp>155</stp>
        <tr r="D158" s="1"/>
      </tp>
      <tp>
        <v>0</v>
        <stp/>
        <stp>T&amp;T0</stp>
        <stp>QUL</stp>
        <stp>156</stp>
        <tr r="D159" s="1"/>
      </tp>
      <tp>
        <v>0</v>
        <stp/>
        <stp>T&amp;T0</stp>
        <stp>QUL</stp>
        <stp>157</stp>
        <tr r="D160" s="1"/>
      </tp>
      <tp>
        <v>0</v>
        <stp/>
        <stp>T&amp;T0</stp>
        <stp>QUL</stp>
        <stp>148</stp>
        <tr r="D151" s="1"/>
      </tp>
      <tp>
        <v>0</v>
        <stp/>
        <stp>T&amp;T0</stp>
        <stp>QUL</stp>
        <stp>149</stp>
        <tr r="D152" s="1"/>
      </tp>
      <tp>
        <v>0</v>
        <stp/>
        <stp>T&amp;T0</stp>
        <stp>QUL</stp>
        <stp>140</stp>
        <tr r="D143" s="1"/>
      </tp>
      <tp>
        <v>0</v>
        <stp/>
        <stp>T&amp;T0</stp>
        <stp>QUL</stp>
        <stp>141</stp>
        <tr r="D144" s="1"/>
      </tp>
      <tp>
        <v>0</v>
        <stp/>
        <stp>T&amp;T0</stp>
        <stp>QUL</stp>
        <stp>142</stp>
        <tr r="D145" s="1"/>
      </tp>
      <tp>
        <v>0</v>
        <stp/>
        <stp>T&amp;T0</stp>
        <stp>QUL</stp>
        <stp>143</stp>
        <tr r="D146" s="1"/>
      </tp>
      <tp>
        <v>0</v>
        <stp/>
        <stp>T&amp;T0</stp>
        <stp>QUL</stp>
        <stp>144</stp>
        <tr r="D147" s="1"/>
      </tp>
      <tp>
        <v>0</v>
        <stp/>
        <stp>T&amp;T0</stp>
        <stp>QUL</stp>
        <stp>145</stp>
        <tr r="D148" s="1"/>
      </tp>
      <tp>
        <v>0</v>
        <stp/>
        <stp>T&amp;T0</stp>
        <stp>QUL</stp>
        <stp>146</stp>
        <tr r="D149" s="1"/>
      </tp>
      <tp>
        <v>0</v>
        <stp/>
        <stp>T&amp;T0</stp>
        <stp>QUL</stp>
        <stp>147</stp>
        <tr r="D150" s="1"/>
      </tp>
      <tp>
        <v>0</v>
        <stp/>
        <stp>T&amp;T0</stp>
        <stp>QUL</stp>
        <stp>178</stp>
        <tr r="D181" s="1"/>
      </tp>
      <tp>
        <v>0</v>
        <stp/>
        <stp>T&amp;T0</stp>
        <stp>QUL</stp>
        <stp>179</stp>
        <tr r="D182" s="1"/>
      </tp>
      <tp>
        <v>0</v>
        <stp/>
        <stp>T&amp;T0</stp>
        <stp>QUL</stp>
        <stp>170</stp>
        <tr r="D173" s="1"/>
      </tp>
      <tp>
        <v>0</v>
        <stp/>
        <stp>T&amp;T0</stp>
        <stp>QUL</stp>
        <stp>171</stp>
        <tr r="D174" s="1"/>
      </tp>
      <tp>
        <v>0</v>
        <stp/>
        <stp>T&amp;T0</stp>
        <stp>QUL</stp>
        <stp>172</stp>
        <tr r="D175" s="1"/>
      </tp>
      <tp>
        <v>0</v>
        <stp/>
        <stp>T&amp;T0</stp>
        <stp>QUL</stp>
        <stp>173</stp>
        <tr r="D176" s="1"/>
      </tp>
      <tp>
        <v>0</v>
        <stp/>
        <stp>T&amp;T0</stp>
        <stp>QUL</stp>
        <stp>174</stp>
        <tr r="D177" s="1"/>
      </tp>
      <tp>
        <v>0</v>
        <stp/>
        <stp>T&amp;T0</stp>
        <stp>QUL</stp>
        <stp>175</stp>
        <tr r="D178" s="1"/>
      </tp>
      <tp>
        <v>0</v>
        <stp/>
        <stp>T&amp;T0</stp>
        <stp>QUL</stp>
        <stp>176</stp>
        <tr r="D179" s="1"/>
      </tp>
      <tp>
        <v>0</v>
        <stp/>
        <stp>T&amp;T0</stp>
        <stp>QUL</stp>
        <stp>177</stp>
        <tr r="D180" s="1"/>
      </tp>
      <tp>
        <v>0</v>
        <stp/>
        <stp>T&amp;T0</stp>
        <stp>QUL</stp>
        <stp>168</stp>
        <tr r="D171" s="1"/>
      </tp>
      <tp>
        <v>0</v>
        <stp/>
        <stp>T&amp;T0</stp>
        <stp>QUL</stp>
        <stp>169</stp>
        <tr r="D172" s="1"/>
      </tp>
      <tp>
        <v>0</v>
        <stp/>
        <stp>T&amp;T0</stp>
        <stp>QUL</stp>
        <stp>160</stp>
        <tr r="D163" s="1"/>
      </tp>
      <tp>
        <v>0</v>
        <stp/>
        <stp>T&amp;T0</stp>
        <stp>QUL</stp>
        <stp>161</stp>
        <tr r="D164" s="1"/>
      </tp>
      <tp>
        <v>0</v>
        <stp/>
        <stp>T&amp;T0</stp>
        <stp>QUL</stp>
        <stp>162</stp>
        <tr r="D165" s="1"/>
      </tp>
      <tp>
        <v>0</v>
        <stp/>
        <stp>T&amp;T0</stp>
        <stp>QUL</stp>
        <stp>163</stp>
        <tr r="D166" s="1"/>
      </tp>
      <tp>
        <v>0</v>
        <stp/>
        <stp>T&amp;T0</stp>
        <stp>QUL</stp>
        <stp>164</stp>
        <tr r="D167" s="1"/>
      </tp>
      <tp>
        <v>0</v>
        <stp/>
        <stp>T&amp;T0</stp>
        <stp>QUL</stp>
        <stp>165</stp>
        <tr r="D168" s="1"/>
      </tp>
      <tp>
        <v>0</v>
        <stp/>
        <stp>T&amp;T0</stp>
        <stp>QUL</stp>
        <stp>166</stp>
        <tr r="D169" s="1"/>
      </tp>
      <tp>
        <v>0</v>
        <stp/>
        <stp>T&amp;T0</stp>
        <stp>QUL</stp>
        <stp>167</stp>
        <tr r="D170" s="1"/>
      </tp>
      <tp>
        <v>0</v>
        <stp/>
        <stp>T&amp;T0</stp>
        <stp>PRE</stp>
        <stp>181</stp>
        <tr r="C184" s="1"/>
      </tp>
      <tp>
        <v>0</v>
        <stp/>
        <stp>T&amp;T0</stp>
        <stp>PRE</stp>
        <stp>180</stp>
        <tr r="C183" s="1"/>
      </tp>
      <tp>
        <v>0</v>
        <stp/>
        <stp>T&amp;T0</stp>
        <stp>PRE</stp>
        <stp>183</stp>
        <tr r="C186" s="1"/>
      </tp>
      <tp>
        <v>0</v>
        <stp/>
        <stp>T&amp;T0</stp>
        <stp>PRE</stp>
        <stp>182</stp>
        <tr r="C185" s="1"/>
      </tp>
      <tp>
        <v>0</v>
        <stp/>
        <stp>T&amp;T0</stp>
        <stp>PRE</stp>
        <stp>185</stp>
        <tr r="C188" s="1"/>
      </tp>
      <tp>
        <v>0</v>
        <stp/>
        <stp>T&amp;T0</stp>
        <stp>PRE</stp>
        <stp>184</stp>
        <tr r="C187" s="1"/>
      </tp>
      <tp>
        <v>0</v>
        <stp/>
        <stp>T&amp;T0</stp>
        <stp>PRE</stp>
        <stp>187</stp>
        <tr r="C190" s="1"/>
      </tp>
      <tp>
        <v>0</v>
        <stp/>
        <stp>T&amp;T0</stp>
        <stp>PRE</stp>
        <stp>186</stp>
        <tr r="C189" s="1"/>
      </tp>
      <tp>
        <v>0</v>
        <stp/>
        <stp>T&amp;T0</stp>
        <stp>PRE</stp>
        <stp>189</stp>
        <tr r="C192" s="1"/>
      </tp>
      <tp>
        <v>0</v>
        <stp/>
        <stp>T&amp;T0</stp>
        <stp>PRE</stp>
        <stp>188</stp>
        <tr r="C191" s="1"/>
      </tp>
      <tp>
        <v>0</v>
        <stp/>
        <stp>T&amp;T0</stp>
        <stp>PRE</stp>
        <stp>191</stp>
        <tr r="C194" s="1"/>
      </tp>
      <tp>
        <v>0</v>
        <stp/>
        <stp>T&amp;T0</stp>
        <stp>PRE</stp>
        <stp>190</stp>
        <tr r="C193" s="1"/>
      </tp>
      <tp>
        <v>0</v>
        <stp/>
        <stp>T&amp;T0</stp>
        <stp>PRE</stp>
        <stp>193</stp>
        <tr r="C196" s="1"/>
      </tp>
      <tp>
        <v>0</v>
        <stp/>
        <stp>T&amp;T0</stp>
        <stp>PRE</stp>
        <stp>192</stp>
        <tr r="C195" s="1"/>
      </tp>
      <tp>
        <v>0</v>
        <stp/>
        <stp>T&amp;T0</stp>
        <stp>PRE</stp>
        <stp>195</stp>
        <tr r="C198" s="1"/>
      </tp>
      <tp>
        <v>0</v>
        <stp/>
        <stp>T&amp;T0</stp>
        <stp>PRE</stp>
        <stp>194</stp>
        <tr r="C197" s="1"/>
      </tp>
      <tp>
        <v>0</v>
        <stp/>
        <stp>T&amp;T0</stp>
        <stp>PRE</stp>
        <stp>197</stp>
        <tr r="C200" s="1"/>
      </tp>
      <tp>
        <v>0</v>
        <stp/>
        <stp>T&amp;T0</stp>
        <stp>PRE</stp>
        <stp>196</stp>
        <tr r="C199" s="1"/>
      </tp>
      <tp>
        <v>0</v>
        <stp/>
        <stp>T&amp;T0</stp>
        <stp>PRE</stp>
        <stp>199</stp>
        <tr r="C202" s="1"/>
      </tp>
      <tp>
        <v>0</v>
        <stp/>
        <stp>T&amp;T0</stp>
        <stp>PRE</stp>
        <stp>198</stp>
        <tr r="C201" s="1"/>
      </tp>
      <tp>
        <v>0</v>
        <stp/>
        <stp>T&amp;T0</stp>
        <stp>PRE</stp>
        <stp>161</stp>
        <tr r="C164" s="1"/>
      </tp>
      <tp>
        <v>0</v>
        <stp/>
        <stp>T&amp;T0</stp>
        <stp>PRE</stp>
        <stp>160</stp>
        <tr r="C163" s="1"/>
      </tp>
      <tp>
        <v>0</v>
        <stp/>
        <stp>T&amp;T0</stp>
        <stp>PRE</stp>
        <stp>163</stp>
        <tr r="C166" s="1"/>
      </tp>
      <tp>
        <v>0</v>
        <stp/>
        <stp>T&amp;T0</stp>
        <stp>PRE</stp>
        <stp>162</stp>
        <tr r="C165" s="1"/>
      </tp>
      <tp>
        <v>0</v>
        <stp/>
        <stp>T&amp;T0</stp>
        <stp>PRE</stp>
        <stp>165</stp>
        <tr r="C168" s="1"/>
      </tp>
      <tp>
        <v>0</v>
        <stp/>
        <stp>T&amp;T0</stp>
        <stp>PRE</stp>
        <stp>164</stp>
        <tr r="C167" s="1"/>
      </tp>
      <tp>
        <v>0</v>
        <stp/>
        <stp>T&amp;T0</stp>
        <stp>PRE</stp>
        <stp>167</stp>
        <tr r="C170" s="1"/>
      </tp>
      <tp>
        <v>0</v>
        <stp/>
        <stp>T&amp;T0</stp>
        <stp>PRE</stp>
        <stp>166</stp>
        <tr r="C169" s="1"/>
      </tp>
      <tp>
        <v>0</v>
        <stp/>
        <stp>T&amp;T0</stp>
        <stp>PRE</stp>
        <stp>169</stp>
        <tr r="C172" s="1"/>
      </tp>
      <tp>
        <v>0</v>
        <stp/>
        <stp>T&amp;T0</stp>
        <stp>PRE</stp>
        <stp>168</stp>
        <tr r="C171" s="1"/>
      </tp>
      <tp>
        <v>0</v>
        <stp/>
        <stp>T&amp;T0</stp>
        <stp>PRE</stp>
        <stp>171</stp>
        <tr r="C174" s="1"/>
      </tp>
      <tp>
        <v>0</v>
        <stp/>
        <stp>T&amp;T0</stp>
        <stp>PRE</stp>
        <stp>170</stp>
        <tr r="C173" s="1"/>
      </tp>
      <tp>
        <v>0</v>
        <stp/>
        <stp>T&amp;T0</stp>
        <stp>PRE</stp>
        <stp>173</stp>
        <tr r="C176" s="1"/>
      </tp>
      <tp>
        <v>0</v>
        <stp/>
        <stp>T&amp;T0</stp>
        <stp>PRE</stp>
        <stp>172</stp>
        <tr r="C175" s="1"/>
      </tp>
      <tp>
        <v>0</v>
        <stp/>
        <stp>T&amp;T0</stp>
        <stp>PRE</stp>
        <stp>175</stp>
        <tr r="C178" s="1"/>
      </tp>
      <tp>
        <v>0</v>
        <stp/>
        <stp>T&amp;T0</stp>
        <stp>PRE</stp>
        <stp>174</stp>
        <tr r="C177" s="1"/>
      </tp>
      <tp>
        <v>0</v>
        <stp/>
        <stp>T&amp;T0</stp>
        <stp>PRE</stp>
        <stp>177</stp>
        <tr r="C180" s="1"/>
      </tp>
      <tp>
        <v>0</v>
        <stp/>
        <stp>T&amp;T0</stp>
        <stp>PRE</stp>
        <stp>176</stp>
        <tr r="C179" s="1"/>
      </tp>
      <tp>
        <v>0</v>
        <stp/>
        <stp>T&amp;T0</stp>
        <stp>PRE</stp>
        <stp>179</stp>
        <tr r="C182" s="1"/>
      </tp>
      <tp>
        <v>0</v>
        <stp/>
        <stp>T&amp;T0</stp>
        <stp>PRE</stp>
        <stp>178</stp>
        <tr r="C181" s="1"/>
      </tp>
      <tp>
        <v>0</v>
        <stp/>
        <stp>T&amp;T0</stp>
        <stp>PRE</stp>
        <stp>141</stp>
        <tr r="C144" s="1"/>
      </tp>
      <tp>
        <v>0</v>
        <stp/>
        <stp>T&amp;T0</stp>
        <stp>PRE</stp>
        <stp>140</stp>
        <tr r="C143" s="1"/>
      </tp>
      <tp>
        <v>0</v>
        <stp/>
        <stp>T&amp;T0</stp>
        <stp>PRE</stp>
        <stp>143</stp>
        <tr r="C146" s="1"/>
      </tp>
      <tp>
        <v>0</v>
        <stp/>
        <stp>T&amp;T0</stp>
        <stp>PRE</stp>
        <stp>142</stp>
        <tr r="C145" s="1"/>
      </tp>
      <tp>
        <v>0</v>
        <stp/>
        <stp>T&amp;T0</stp>
        <stp>PRE</stp>
        <stp>145</stp>
        <tr r="C148" s="1"/>
      </tp>
      <tp>
        <v>0</v>
        <stp/>
        <stp>T&amp;T0</stp>
        <stp>PRE</stp>
        <stp>144</stp>
        <tr r="C147" s="1"/>
      </tp>
      <tp>
        <v>0</v>
        <stp/>
        <stp>T&amp;T0</stp>
        <stp>PRE</stp>
        <stp>147</stp>
        <tr r="C150" s="1"/>
      </tp>
      <tp>
        <v>0</v>
        <stp/>
        <stp>T&amp;T0</stp>
        <stp>PRE</stp>
        <stp>146</stp>
        <tr r="C149" s="1"/>
      </tp>
      <tp>
        <v>0</v>
        <stp/>
        <stp>T&amp;T0</stp>
        <stp>PRE</stp>
        <stp>149</stp>
        <tr r="C152" s="1"/>
      </tp>
      <tp>
        <v>0</v>
        <stp/>
        <stp>T&amp;T0</stp>
        <stp>PRE</stp>
        <stp>148</stp>
        <tr r="C151" s="1"/>
      </tp>
      <tp>
        <v>0</v>
        <stp/>
        <stp>T&amp;T0</stp>
        <stp>PRE</stp>
        <stp>151</stp>
        <tr r="C154" s="1"/>
      </tp>
      <tp>
        <v>0</v>
        <stp/>
        <stp>T&amp;T0</stp>
        <stp>PRE</stp>
        <stp>150</stp>
        <tr r="C153" s="1"/>
      </tp>
      <tp>
        <v>0</v>
        <stp/>
        <stp>T&amp;T0</stp>
        <stp>PRE</stp>
        <stp>153</stp>
        <tr r="C156" s="1"/>
      </tp>
      <tp>
        <v>0</v>
        <stp/>
        <stp>T&amp;T0</stp>
        <stp>PRE</stp>
        <stp>152</stp>
        <tr r="C155" s="1"/>
      </tp>
      <tp>
        <v>0</v>
        <stp/>
        <stp>T&amp;T0</stp>
        <stp>PRE</stp>
        <stp>155</stp>
        <tr r="C158" s="1"/>
      </tp>
      <tp>
        <v>0</v>
        <stp/>
        <stp>T&amp;T0</stp>
        <stp>PRE</stp>
        <stp>154</stp>
        <tr r="C157" s="1"/>
      </tp>
      <tp>
        <v>0</v>
        <stp/>
        <stp>T&amp;T0</stp>
        <stp>PRE</stp>
        <stp>157</stp>
        <tr r="C160" s="1"/>
      </tp>
      <tp>
        <v>0</v>
        <stp/>
        <stp>T&amp;T0</stp>
        <stp>PRE</stp>
        <stp>156</stp>
        <tr r="C159" s="1"/>
      </tp>
      <tp>
        <v>0</v>
        <stp/>
        <stp>T&amp;T0</stp>
        <stp>PRE</stp>
        <stp>159</stp>
        <tr r="C162" s="1"/>
      </tp>
      <tp>
        <v>0</v>
        <stp/>
        <stp>T&amp;T0</stp>
        <stp>PRE</stp>
        <stp>158</stp>
        <tr r="C161" s="1"/>
      </tp>
      <tp>
        <v>0</v>
        <stp/>
        <stp>T&amp;T0</stp>
        <stp>PRE</stp>
        <stp>121</stp>
        <tr r="C124" s="1"/>
      </tp>
      <tp>
        <v>0</v>
        <stp/>
        <stp>T&amp;T0</stp>
        <stp>PRE</stp>
        <stp>120</stp>
        <tr r="C123" s="1"/>
      </tp>
      <tp>
        <v>0</v>
        <stp/>
        <stp>T&amp;T0</stp>
        <stp>PRE</stp>
        <stp>123</stp>
        <tr r="C126" s="1"/>
      </tp>
      <tp>
        <v>0</v>
        <stp/>
        <stp>T&amp;T0</stp>
        <stp>PRE</stp>
        <stp>122</stp>
        <tr r="C125" s="1"/>
      </tp>
      <tp>
        <v>0</v>
        <stp/>
        <stp>T&amp;T0</stp>
        <stp>PRE</stp>
        <stp>125</stp>
        <tr r="C128" s="1"/>
      </tp>
      <tp>
        <v>0</v>
        <stp/>
        <stp>T&amp;T0</stp>
        <stp>PRE</stp>
        <stp>124</stp>
        <tr r="C127" s="1"/>
      </tp>
      <tp>
        <v>0</v>
        <stp/>
        <stp>T&amp;T0</stp>
        <stp>PRE</stp>
        <stp>127</stp>
        <tr r="C130" s="1"/>
      </tp>
      <tp>
        <v>0</v>
        <stp/>
        <stp>T&amp;T0</stp>
        <stp>PRE</stp>
        <stp>126</stp>
        <tr r="C129" s="1"/>
      </tp>
      <tp>
        <v>0</v>
        <stp/>
        <stp>T&amp;T0</stp>
        <stp>PRE</stp>
        <stp>129</stp>
        <tr r="C132" s="1"/>
      </tp>
      <tp>
        <v>0</v>
        <stp/>
        <stp>T&amp;T0</stp>
        <stp>PRE</stp>
        <stp>128</stp>
        <tr r="C131" s="1"/>
      </tp>
      <tp>
        <v>0</v>
        <stp/>
        <stp>T&amp;T0</stp>
        <stp>PRE</stp>
        <stp>131</stp>
        <tr r="C134" s="1"/>
      </tp>
      <tp>
        <v>0</v>
        <stp/>
        <stp>T&amp;T0</stp>
        <stp>PRE</stp>
        <stp>130</stp>
        <tr r="C133" s="1"/>
      </tp>
      <tp>
        <v>0</v>
        <stp/>
        <stp>T&amp;T0</stp>
        <stp>PRE</stp>
        <stp>133</stp>
        <tr r="C136" s="1"/>
      </tp>
      <tp>
        <v>0</v>
        <stp/>
        <stp>T&amp;T0</stp>
        <stp>PRE</stp>
        <stp>132</stp>
        <tr r="C135" s="1"/>
      </tp>
      <tp>
        <v>0</v>
        <stp/>
        <stp>T&amp;T0</stp>
        <stp>PRE</stp>
        <stp>135</stp>
        <tr r="C138" s="1"/>
      </tp>
      <tp>
        <v>0</v>
        <stp/>
        <stp>T&amp;T0</stp>
        <stp>PRE</stp>
        <stp>134</stp>
        <tr r="C137" s="1"/>
      </tp>
      <tp>
        <v>0</v>
        <stp/>
        <stp>T&amp;T0</stp>
        <stp>PRE</stp>
        <stp>137</stp>
        <tr r="C140" s="1"/>
      </tp>
      <tp>
        <v>0</v>
        <stp/>
        <stp>T&amp;T0</stp>
        <stp>PRE</stp>
        <stp>136</stp>
        <tr r="C139" s="1"/>
      </tp>
      <tp>
        <v>0</v>
        <stp/>
        <stp>T&amp;T0</stp>
        <stp>PRE</stp>
        <stp>139</stp>
        <tr r="C142" s="1"/>
      </tp>
      <tp>
        <v>0</v>
        <stp/>
        <stp>T&amp;T0</stp>
        <stp>PRE</stp>
        <stp>138</stp>
        <tr r="C141" s="1"/>
      </tp>
      <tp>
        <v>0</v>
        <stp/>
        <stp>T&amp;T0</stp>
        <stp>PRE</stp>
        <stp>101</stp>
        <tr r="C104" s="1"/>
      </tp>
      <tp>
        <v>0</v>
        <stp/>
        <stp>T&amp;T0</stp>
        <stp>PRE</stp>
        <stp>100</stp>
        <tr r="C103" s="1"/>
      </tp>
      <tp>
        <v>0</v>
        <stp/>
        <stp>T&amp;T0</stp>
        <stp>PRE</stp>
        <stp>103</stp>
        <tr r="C106" s="1"/>
      </tp>
      <tp>
        <v>0</v>
        <stp/>
        <stp>T&amp;T0</stp>
        <stp>PRE</stp>
        <stp>102</stp>
        <tr r="C105" s="1"/>
      </tp>
      <tp>
        <v>0</v>
        <stp/>
        <stp>T&amp;T0</stp>
        <stp>PRE</stp>
        <stp>105</stp>
        <tr r="C108" s="1"/>
      </tp>
      <tp>
        <v>0</v>
        <stp/>
        <stp>T&amp;T0</stp>
        <stp>PRE</stp>
        <stp>104</stp>
        <tr r="C107" s="1"/>
      </tp>
      <tp>
        <v>0</v>
        <stp/>
        <stp>T&amp;T0</stp>
        <stp>PRE</stp>
        <stp>107</stp>
        <tr r="C110" s="1"/>
      </tp>
      <tp>
        <v>0</v>
        <stp/>
        <stp>T&amp;T0</stp>
        <stp>PRE</stp>
        <stp>106</stp>
        <tr r="C109" s="1"/>
      </tp>
      <tp>
        <v>0</v>
        <stp/>
        <stp>T&amp;T0</stp>
        <stp>PRE</stp>
        <stp>109</stp>
        <tr r="C112" s="1"/>
      </tp>
      <tp>
        <v>0</v>
        <stp/>
        <stp>T&amp;T0</stp>
        <stp>PRE</stp>
        <stp>108</stp>
        <tr r="C111" s="1"/>
      </tp>
      <tp>
        <v>0</v>
        <stp/>
        <stp>T&amp;T0</stp>
        <stp>PRE</stp>
        <stp>111</stp>
        <tr r="C114" s="1"/>
      </tp>
      <tp>
        <v>0</v>
        <stp/>
        <stp>T&amp;T0</stp>
        <stp>PRE</stp>
        <stp>110</stp>
        <tr r="C113" s="1"/>
      </tp>
      <tp>
        <v>0</v>
        <stp/>
        <stp>T&amp;T0</stp>
        <stp>PRE</stp>
        <stp>113</stp>
        <tr r="C116" s="1"/>
      </tp>
      <tp>
        <v>0</v>
        <stp/>
        <stp>T&amp;T0</stp>
        <stp>PRE</stp>
        <stp>112</stp>
        <tr r="C115" s="1"/>
      </tp>
      <tp>
        <v>0</v>
        <stp/>
        <stp>T&amp;T0</stp>
        <stp>PRE</stp>
        <stp>115</stp>
        <tr r="C118" s="1"/>
      </tp>
      <tp>
        <v>0</v>
        <stp/>
        <stp>T&amp;T0</stp>
        <stp>PRE</stp>
        <stp>114</stp>
        <tr r="C117" s="1"/>
      </tp>
      <tp>
        <v>0</v>
        <stp/>
        <stp>T&amp;T0</stp>
        <stp>PRE</stp>
        <stp>117</stp>
        <tr r="C120" s="1"/>
      </tp>
      <tp>
        <v>0</v>
        <stp/>
        <stp>T&amp;T0</stp>
        <stp>PRE</stp>
        <stp>116</stp>
        <tr r="C119" s="1"/>
      </tp>
      <tp>
        <v>0</v>
        <stp/>
        <stp>T&amp;T0</stp>
        <stp>PRE</stp>
        <stp>119</stp>
        <tr r="C122" s="1"/>
      </tp>
      <tp>
        <v>0</v>
        <stp/>
        <stp>T&amp;T0</stp>
        <stp>PRE</stp>
        <stp>118</stp>
        <tr r="C121" s="1"/>
      </tp>
      <tp>
        <v>0</v>
        <stp/>
        <stp>T&amp;T0</stp>
        <stp>PRE</stp>
        <stp>481</stp>
        <tr r="C484" s="1"/>
      </tp>
      <tp>
        <v>0</v>
        <stp/>
        <stp>T&amp;T0</stp>
        <stp>PRE</stp>
        <stp>480</stp>
        <tr r="C483" s="1"/>
      </tp>
      <tp>
        <v>0</v>
        <stp/>
        <stp>T&amp;T0</stp>
        <stp>PRE</stp>
        <stp>483</stp>
        <tr r="C486" s="1"/>
      </tp>
      <tp>
        <v>0</v>
        <stp/>
        <stp>T&amp;T0</stp>
        <stp>PRE</stp>
        <stp>482</stp>
        <tr r="C485" s="1"/>
      </tp>
      <tp>
        <v>0</v>
        <stp/>
        <stp>T&amp;T0</stp>
        <stp>PRE</stp>
        <stp>485</stp>
        <tr r="C488" s="1"/>
      </tp>
      <tp>
        <v>0</v>
        <stp/>
        <stp>T&amp;T0</stp>
        <stp>PRE</stp>
        <stp>484</stp>
        <tr r="C487" s="1"/>
      </tp>
      <tp>
        <v>0</v>
        <stp/>
        <stp>T&amp;T0</stp>
        <stp>PRE</stp>
        <stp>487</stp>
        <tr r="C490" s="1"/>
      </tp>
      <tp>
        <v>0</v>
        <stp/>
        <stp>T&amp;T0</stp>
        <stp>PRE</stp>
        <stp>486</stp>
        <tr r="C489" s="1"/>
      </tp>
      <tp>
        <v>0</v>
        <stp/>
        <stp>T&amp;T0</stp>
        <stp>PRE</stp>
        <stp>489</stp>
        <tr r="C492" s="1"/>
      </tp>
      <tp>
        <v>0</v>
        <stp/>
        <stp>T&amp;T0</stp>
        <stp>PRE</stp>
        <stp>488</stp>
        <tr r="C491" s="1"/>
      </tp>
      <tp>
        <v>0</v>
        <stp/>
        <stp>T&amp;T0</stp>
        <stp>PRE</stp>
        <stp>491</stp>
        <tr r="C494" s="1"/>
      </tp>
      <tp>
        <v>0</v>
        <stp/>
        <stp>T&amp;T0</stp>
        <stp>PRE</stp>
        <stp>490</stp>
        <tr r="C493" s="1"/>
      </tp>
      <tp>
        <v>0</v>
        <stp/>
        <stp>T&amp;T0</stp>
        <stp>PRE</stp>
        <stp>493</stp>
        <tr r="C496" s="1"/>
      </tp>
      <tp>
        <v>0</v>
        <stp/>
        <stp>T&amp;T0</stp>
        <stp>PRE</stp>
        <stp>492</stp>
        <tr r="C495" s="1"/>
      </tp>
      <tp>
        <v>0</v>
        <stp/>
        <stp>T&amp;T0</stp>
        <stp>PRE</stp>
        <stp>495</stp>
        <tr r="C498" s="1"/>
      </tp>
      <tp>
        <v>0</v>
        <stp/>
        <stp>T&amp;T0</stp>
        <stp>PRE</stp>
        <stp>494</stp>
        <tr r="C497" s="1"/>
      </tp>
      <tp>
        <v>0</v>
        <stp/>
        <stp>T&amp;T0</stp>
        <stp>PRE</stp>
        <stp>497</stp>
        <tr r="C500" s="1"/>
      </tp>
      <tp>
        <v>0</v>
        <stp/>
        <stp>T&amp;T0</stp>
        <stp>PRE</stp>
        <stp>496</stp>
        <tr r="C499" s="1"/>
      </tp>
      <tp>
        <v>0</v>
        <stp/>
        <stp>T&amp;T0</stp>
        <stp>PRE</stp>
        <stp>499</stp>
        <tr r="C502" s="1"/>
        <tr r="C503" s="1"/>
      </tp>
      <tp>
        <v>0</v>
        <stp/>
        <stp>T&amp;T0</stp>
        <stp>PRE</stp>
        <stp>498</stp>
        <tr r="C501" s="1"/>
      </tp>
      <tp>
        <v>0</v>
        <stp/>
        <stp>T&amp;T0</stp>
        <stp>PRE</stp>
        <stp>461</stp>
        <tr r="C464" s="1"/>
      </tp>
      <tp>
        <v>0</v>
        <stp/>
        <stp>T&amp;T0</stp>
        <stp>PRE</stp>
        <stp>460</stp>
        <tr r="C463" s="1"/>
      </tp>
      <tp>
        <v>0</v>
        <stp/>
        <stp>T&amp;T0</stp>
        <stp>PRE</stp>
        <stp>463</stp>
        <tr r="C466" s="1"/>
      </tp>
      <tp>
        <v>0</v>
        <stp/>
        <stp>T&amp;T0</stp>
        <stp>PRE</stp>
        <stp>462</stp>
        <tr r="C465" s="1"/>
      </tp>
      <tp>
        <v>0</v>
        <stp/>
        <stp>T&amp;T0</stp>
        <stp>PRE</stp>
        <stp>465</stp>
        <tr r="C468" s="1"/>
      </tp>
      <tp>
        <v>0</v>
        <stp/>
        <stp>T&amp;T0</stp>
        <stp>PRE</stp>
        <stp>464</stp>
        <tr r="C467" s="1"/>
      </tp>
      <tp>
        <v>0</v>
        <stp/>
        <stp>T&amp;T0</stp>
        <stp>PRE</stp>
        <stp>467</stp>
        <tr r="C470" s="1"/>
      </tp>
      <tp>
        <v>0</v>
        <stp/>
        <stp>T&amp;T0</stp>
        <stp>PRE</stp>
        <stp>466</stp>
        <tr r="C469" s="1"/>
      </tp>
      <tp>
        <v>0</v>
        <stp/>
        <stp>T&amp;T0</stp>
        <stp>PRE</stp>
        <stp>469</stp>
        <tr r="C472" s="1"/>
      </tp>
      <tp>
        <v>0</v>
        <stp/>
        <stp>T&amp;T0</stp>
        <stp>PRE</stp>
        <stp>468</stp>
        <tr r="C471" s="1"/>
      </tp>
      <tp>
        <v>0</v>
        <stp/>
        <stp>T&amp;T0</stp>
        <stp>PRE</stp>
        <stp>471</stp>
        <tr r="C474" s="1"/>
      </tp>
      <tp>
        <v>0</v>
        <stp/>
        <stp>T&amp;T0</stp>
        <stp>PRE</stp>
        <stp>470</stp>
        <tr r="C473" s="1"/>
      </tp>
      <tp>
        <v>0</v>
        <stp/>
        <stp>T&amp;T0</stp>
        <stp>PRE</stp>
        <stp>473</stp>
        <tr r="C476" s="1"/>
      </tp>
      <tp>
        <v>0</v>
        <stp/>
        <stp>T&amp;T0</stp>
        <stp>PRE</stp>
        <stp>472</stp>
        <tr r="C475" s="1"/>
      </tp>
      <tp>
        <v>0</v>
        <stp/>
        <stp>T&amp;T0</stp>
        <stp>PRE</stp>
        <stp>475</stp>
        <tr r="C478" s="1"/>
      </tp>
      <tp>
        <v>0</v>
        <stp/>
        <stp>T&amp;T0</stp>
        <stp>PRE</stp>
        <stp>474</stp>
        <tr r="C477" s="1"/>
      </tp>
      <tp>
        <v>0</v>
        <stp/>
        <stp>T&amp;T0</stp>
        <stp>PRE</stp>
        <stp>477</stp>
        <tr r="C480" s="1"/>
      </tp>
      <tp>
        <v>0</v>
        <stp/>
        <stp>T&amp;T0</stp>
        <stp>PRE</stp>
        <stp>476</stp>
        <tr r="C479" s="1"/>
      </tp>
      <tp>
        <v>0</v>
        <stp/>
        <stp>T&amp;T0</stp>
        <stp>PRE</stp>
        <stp>479</stp>
        <tr r="C482" s="1"/>
      </tp>
      <tp>
        <v>0</v>
        <stp/>
        <stp>T&amp;T0</stp>
        <stp>PRE</stp>
        <stp>478</stp>
        <tr r="C481" s="1"/>
      </tp>
      <tp>
        <v>0</v>
        <stp/>
        <stp>T&amp;T0</stp>
        <stp>PRE</stp>
        <stp>441</stp>
        <tr r="C444" s="1"/>
      </tp>
      <tp>
        <v>0</v>
        <stp/>
        <stp>T&amp;T0</stp>
        <stp>PRE</stp>
        <stp>440</stp>
        <tr r="C443" s="1"/>
      </tp>
      <tp>
        <v>0</v>
        <stp/>
        <stp>T&amp;T0</stp>
        <stp>PRE</stp>
        <stp>443</stp>
        <tr r="C446" s="1"/>
      </tp>
      <tp>
        <v>0</v>
        <stp/>
        <stp>T&amp;T0</stp>
        <stp>PRE</stp>
        <stp>442</stp>
        <tr r="C445" s="1"/>
      </tp>
      <tp>
        <v>0</v>
        <stp/>
        <stp>T&amp;T0</stp>
        <stp>PRE</stp>
        <stp>445</stp>
        <tr r="C448" s="1"/>
      </tp>
      <tp>
        <v>0</v>
        <stp/>
        <stp>T&amp;T0</stp>
        <stp>PRE</stp>
        <stp>444</stp>
        <tr r="C447" s="1"/>
      </tp>
      <tp>
        <v>0</v>
        <stp/>
        <stp>T&amp;T0</stp>
        <stp>PRE</stp>
        <stp>447</stp>
        <tr r="C450" s="1"/>
      </tp>
      <tp>
        <v>0</v>
        <stp/>
        <stp>T&amp;T0</stp>
        <stp>PRE</stp>
        <stp>446</stp>
        <tr r="C449" s="1"/>
      </tp>
      <tp>
        <v>0</v>
        <stp/>
        <stp>T&amp;T0</stp>
        <stp>PRE</stp>
        <stp>449</stp>
        <tr r="C452" s="1"/>
      </tp>
      <tp>
        <v>0</v>
        <stp/>
        <stp>T&amp;T0</stp>
        <stp>PRE</stp>
        <stp>448</stp>
        <tr r="C451" s="1"/>
      </tp>
      <tp>
        <v>0</v>
        <stp/>
        <stp>T&amp;T0</stp>
        <stp>PRE</stp>
        <stp>451</stp>
        <tr r="C454" s="1"/>
      </tp>
      <tp>
        <v>0</v>
        <stp/>
        <stp>T&amp;T0</stp>
        <stp>PRE</stp>
        <stp>450</stp>
        <tr r="C453" s="1"/>
      </tp>
      <tp>
        <v>0</v>
        <stp/>
        <stp>T&amp;T0</stp>
        <stp>PRE</stp>
        <stp>453</stp>
        <tr r="C456" s="1"/>
      </tp>
      <tp>
        <v>0</v>
        <stp/>
        <stp>T&amp;T0</stp>
        <stp>PRE</stp>
        <stp>452</stp>
        <tr r="C455" s="1"/>
      </tp>
      <tp>
        <v>0</v>
        <stp/>
        <stp>T&amp;T0</stp>
        <stp>PRE</stp>
        <stp>455</stp>
        <tr r="C458" s="1"/>
      </tp>
      <tp>
        <v>0</v>
        <stp/>
        <stp>T&amp;T0</stp>
        <stp>PRE</stp>
        <stp>454</stp>
        <tr r="C457" s="1"/>
      </tp>
      <tp>
        <v>0</v>
        <stp/>
        <stp>T&amp;T0</stp>
        <stp>PRE</stp>
        <stp>457</stp>
        <tr r="C460" s="1"/>
      </tp>
      <tp>
        <v>0</v>
        <stp/>
        <stp>T&amp;T0</stp>
        <stp>PRE</stp>
        <stp>456</stp>
        <tr r="C459" s="1"/>
      </tp>
      <tp>
        <v>0</v>
        <stp/>
        <stp>T&amp;T0</stp>
        <stp>PRE</stp>
        <stp>459</stp>
        <tr r="C462" s="1"/>
      </tp>
      <tp>
        <v>0</v>
        <stp/>
        <stp>T&amp;T0</stp>
        <stp>PRE</stp>
        <stp>458</stp>
        <tr r="C461" s="1"/>
      </tp>
      <tp>
        <v>0</v>
        <stp/>
        <stp>T&amp;T0</stp>
        <stp>PRE</stp>
        <stp>421</stp>
        <tr r="C424" s="1"/>
      </tp>
      <tp>
        <v>0</v>
        <stp/>
        <stp>T&amp;T0</stp>
        <stp>PRE</stp>
        <stp>420</stp>
        <tr r="C423" s="1"/>
      </tp>
      <tp>
        <v>0</v>
        <stp/>
        <stp>T&amp;T0</stp>
        <stp>PRE</stp>
        <stp>423</stp>
        <tr r="C426" s="1"/>
      </tp>
      <tp>
        <v>0</v>
        <stp/>
        <stp>T&amp;T0</stp>
        <stp>PRE</stp>
        <stp>422</stp>
        <tr r="C425" s="1"/>
      </tp>
      <tp>
        <v>0</v>
        <stp/>
        <stp>T&amp;T0</stp>
        <stp>PRE</stp>
        <stp>425</stp>
        <tr r="C428" s="1"/>
      </tp>
      <tp>
        <v>0</v>
        <stp/>
        <stp>T&amp;T0</stp>
        <stp>PRE</stp>
        <stp>424</stp>
        <tr r="C427" s="1"/>
      </tp>
      <tp>
        <v>0</v>
        <stp/>
        <stp>T&amp;T0</stp>
        <stp>PRE</stp>
        <stp>427</stp>
        <tr r="C430" s="1"/>
      </tp>
      <tp>
        <v>0</v>
        <stp/>
        <stp>T&amp;T0</stp>
        <stp>PRE</stp>
        <stp>426</stp>
        <tr r="C429" s="1"/>
      </tp>
      <tp>
        <v>0</v>
        <stp/>
        <stp>T&amp;T0</stp>
        <stp>PRE</stp>
        <stp>429</stp>
        <tr r="C432" s="1"/>
      </tp>
      <tp>
        <v>0</v>
        <stp/>
        <stp>T&amp;T0</stp>
        <stp>PRE</stp>
        <stp>428</stp>
        <tr r="C431" s="1"/>
      </tp>
      <tp>
        <v>0</v>
        <stp/>
        <stp>T&amp;T0</stp>
        <stp>PRE</stp>
        <stp>431</stp>
        <tr r="C434" s="1"/>
      </tp>
      <tp>
        <v>0</v>
        <stp/>
        <stp>T&amp;T0</stp>
        <stp>PRE</stp>
        <stp>430</stp>
        <tr r="C433" s="1"/>
      </tp>
      <tp>
        <v>0</v>
        <stp/>
        <stp>T&amp;T0</stp>
        <stp>PRE</stp>
        <stp>433</stp>
        <tr r="C436" s="1"/>
      </tp>
      <tp>
        <v>0</v>
        <stp/>
        <stp>T&amp;T0</stp>
        <stp>PRE</stp>
        <stp>432</stp>
        <tr r="C435" s="1"/>
      </tp>
      <tp>
        <v>0</v>
        <stp/>
        <stp>T&amp;T0</stp>
        <stp>PRE</stp>
        <stp>435</stp>
        <tr r="C438" s="1"/>
      </tp>
      <tp>
        <v>0</v>
        <stp/>
        <stp>T&amp;T0</stp>
        <stp>PRE</stp>
        <stp>434</stp>
        <tr r="C437" s="1"/>
      </tp>
      <tp>
        <v>0</v>
        <stp/>
        <stp>T&amp;T0</stp>
        <stp>PRE</stp>
        <stp>437</stp>
        <tr r="C440" s="1"/>
      </tp>
      <tp>
        <v>0</v>
        <stp/>
        <stp>T&amp;T0</stp>
        <stp>PRE</stp>
        <stp>436</stp>
        <tr r="C439" s="1"/>
      </tp>
      <tp>
        <v>0</v>
        <stp/>
        <stp>T&amp;T0</stp>
        <stp>PRE</stp>
        <stp>439</stp>
        <tr r="C442" s="1"/>
      </tp>
      <tp>
        <v>0</v>
        <stp/>
        <stp>T&amp;T0</stp>
        <stp>PRE</stp>
        <stp>438</stp>
        <tr r="C441" s="1"/>
      </tp>
      <tp>
        <v>0</v>
        <stp/>
        <stp>T&amp;T0</stp>
        <stp>PRE</stp>
        <stp>401</stp>
        <tr r="C404" s="1"/>
      </tp>
      <tp>
        <v>0</v>
        <stp/>
        <stp>T&amp;T0</stp>
        <stp>PRE</stp>
        <stp>400</stp>
        <tr r="C403" s="1"/>
      </tp>
      <tp>
        <v>0</v>
        <stp/>
        <stp>T&amp;T0</stp>
        <stp>PRE</stp>
        <stp>403</stp>
        <tr r="C406" s="1"/>
      </tp>
      <tp>
        <v>0</v>
        <stp/>
        <stp>T&amp;T0</stp>
        <stp>PRE</stp>
        <stp>402</stp>
        <tr r="C405" s="1"/>
      </tp>
      <tp>
        <v>0</v>
        <stp/>
        <stp>T&amp;T0</stp>
        <stp>PRE</stp>
        <stp>405</stp>
        <tr r="C408" s="1"/>
      </tp>
      <tp>
        <v>0</v>
        <stp/>
        <stp>T&amp;T0</stp>
        <stp>PRE</stp>
        <stp>404</stp>
        <tr r="C407" s="1"/>
      </tp>
      <tp>
        <v>0</v>
        <stp/>
        <stp>T&amp;T0</stp>
        <stp>PRE</stp>
        <stp>407</stp>
        <tr r="C410" s="1"/>
      </tp>
      <tp>
        <v>0</v>
        <stp/>
        <stp>T&amp;T0</stp>
        <stp>PRE</stp>
        <stp>406</stp>
        <tr r="C409" s="1"/>
      </tp>
      <tp>
        <v>0</v>
        <stp/>
        <stp>T&amp;T0</stp>
        <stp>PRE</stp>
        <stp>409</stp>
        <tr r="C412" s="1"/>
      </tp>
      <tp>
        <v>0</v>
        <stp/>
        <stp>T&amp;T0</stp>
        <stp>PRE</stp>
        <stp>408</stp>
        <tr r="C411" s="1"/>
      </tp>
      <tp>
        <v>0</v>
        <stp/>
        <stp>T&amp;T0</stp>
        <stp>PRE</stp>
        <stp>411</stp>
        <tr r="C414" s="1"/>
      </tp>
      <tp>
        <v>0</v>
        <stp/>
        <stp>T&amp;T0</stp>
        <stp>PRE</stp>
        <stp>410</stp>
        <tr r="C413" s="1"/>
      </tp>
      <tp>
        <v>0</v>
        <stp/>
        <stp>T&amp;T0</stp>
        <stp>PRE</stp>
        <stp>413</stp>
        <tr r="C416" s="1"/>
      </tp>
      <tp>
        <v>0</v>
        <stp/>
        <stp>T&amp;T0</stp>
        <stp>PRE</stp>
        <stp>412</stp>
        <tr r="C415" s="1"/>
      </tp>
      <tp>
        <v>0</v>
        <stp/>
        <stp>T&amp;T0</stp>
        <stp>PRE</stp>
        <stp>415</stp>
        <tr r="C418" s="1"/>
      </tp>
      <tp>
        <v>0</v>
        <stp/>
        <stp>T&amp;T0</stp>
        <stp>PRE</stp>
        <stp>414</stp>
        <tr r="C417" s="1"/>
      </tp>
      <tp>
        <v>0</v>
        <stp/>
        <stp>T&amp;T0</stp>
        <stp>PRE</stp>
        <stp>417</stp>
        <tr r="C420" s="1"/>
      </tp>
      <tp>
        <v>0</v>
        <stp/>
        <stp>T&amp;T0</stp>
        <stp>PRE</stp>
        <stp>416</stp>
        <tr r="C419" s="1"/>
      </tp>
      <tp>
        <v>0</v>
        <stp/>
        <stp>T&amp;T0</stp>
        <stp>PRE</stp>
        <stp>419</stp>
        <tr r="C422" s="1"/>
      </tp>
      <tp>
        <v>0</v>
        <stp/>
        <stp>T&amp;T0</stp>
        <stp>PRE</stp>
        <stp>418</stp>
        <tr r="C421" s="1"/>
      </tp>
      <tp t="s">
        <v>-</v>
        <stp/>
        <stp>T&amp;T0</stp>
        <stp>AGAG</stp>
        <stp>9</stp>
        <tr r="G12" s="1"/>
      </tp>
      <tp t="s">
        <v>-</v>
        <stp/>
        <stp>T&amp;T0</stp>
        <stp>AGAG</stp>
        <stp>8</stp>
        <tr r="G11" s="1"/>
      </tp>
      <tp t="s">
        <v>-</v>
        <stp/>
        <stp>T&amp;T0</stp>
        <stp>AGAG</stp>
        <stp>3</stp>
        <tr r="G6" s="1"/>
      </tp>
      <tp t="s">
        <v>-</v>
        <stp/>
        <stp>T&amp;T0</stp>
        <stp>AGAG</stp>
        <stp>2</stp>
        <tr r="G5" s="1"/>
      </tp>
      <tp t="s">
        <v>-</v>
        <stp/>
        <stp>T&amp;T0</stp>
        <stp>AGAG</stp>
        <stp>1</stp>
        <tr r="G4" s="1"/>
      </tp>
      <tp t="s">
        <v>-</v>
        <stp/>
        <stp>T&amp;T0</stp>
        <stp>AGAG</stp>
        <stp>0</stp>
        <tr r="G3" s="1"/>
      </tp>
      <tp t="s">
        <v>-</v>
        <stp/>
        <stp>T&amp;T0</stp>
        <stp>AGAG</stp>
        <stp>7</stp>
        <tr r="G10" s="1"/>
      </tp>
      <tp t="s">
        <v>-</v>
        <stp/>
        <stp>T&amp;T0</stp>
        <stp>AGAG</stp>
        <stp>6</stp>
        <tr r="G9" s="1"/>
      </tp>
      <tp t="s">
        <v>-</v>
        <stp/>
        <stp>T&amp;T0</stp>
        <stp>AGAG</stp>
        <stp>5</stp>
        <tr r="G8" s="1"/>
      </tp>
      <tp t="s">
        <v>-</v>
        <stp/>
        <stp>T&amp;T0</stp>
        <stp>AGAG</stp>
        <stp>4</stp>
        <tr r="G7" s="1"/>
      </tp>
      <tp>
        <v>0</v>
        <stp/>
        <stp>T&amp;T0</stp>
        <stp>QUL</stp>
        <stp>498</stp>
        <tr r="D501" s="1"/>
      </tp>
      <tp>
        <v>0</v>
        <stp/>
        <stp>T&amp;T0</stp>
        <stp>QUL</stp>
        <stp>499</stp>
        <tr r="D502" s="1"/>
        <tr r="D503" s="1"/>
      </tp>
      <tp>
        <v>0</v>
        <stp/>
        <stp>T&amp;T0</stp>
        <stp>QUL</stp>
        <stp>490</stp>
        <tr r="D493" s="1"/>
      </tp>
      <tp>
        <v>0</v>
        <stp/>
        <stp>T&amp;T0</stp>
        <stp>QUL</stp>
        <stp>491</stp>
        <tr r="D494" s="1"/>
      </tp>
      <tp>
        <v>0</v>
        <stp/>
        <stp>T&amp;T0</stp>
        <stp>QUL</stp>
        <stp>492</stp>
        <tr r="D495" s="1"/>
      </tp>
      <tp>
        <v>0</v>
        <stp/>
        <stp>T&amp;T0</stp>
        <stp>QUL</stp>
        <stp>493</stp>
        <tr r="D496" s="1"/>
      </tp>
      <tp>
        <v>0</v>
        <stp/>
        <stp>T&amp;T0</stp>
        <stp>QUL</stp>
        <stp>494</stp>
        <tr r="D497" s="1"/>
      </tp>
      <tp>
        <v>0</v>
        <stp/>
        <stp>T&amp;T0</stp>
        <stp>QUL</stp>
        <stp>495</stp>
        <tr r="D498" s="1"/>
      </tp>
      <tp>
        <v>0</v>
        <stp/>
        <stp>T&amp;T0</stp>
        <stp>QUL</stp>
        <stp>496</stp>
        <tr r="D499" s="1"/>
      </tp>
      <tp>
        <v>0</v>
        <stp/>
        <stp>T&amp;T0</stp>
        <stp>QUL</stp>
        <stp>497</stp>
        <tr r="D500" s="1"/>
      </tp>
      <tp>
        <v>0</v>
        <stp/>
        <stp>T&amp;T0</stp>
        <stp>QUL</stp>
        <stp>488</stp>
        <tr r="D491" s="1"/>
      </tp>
      <tp>
        <v>0</v>
        <stp/>
        <stp>T&amp;T0</stp>
        <stp>QUL</stp>
        <stp>489</stp>
        <tr r="D492" s="1"/>
      </tp>
      <tp>
        <v>0</v>
        <stp/>
        <stp>T&amp;T0</stp>
        <stp>QUL</stp>
        <stp>480</stp>
        <tr r="D483" s="1"/>
      </tp>
      <tp>
        <v>0</v>
        <stp/>
        <stp>T&amp;T0</stp>
        <stp>QUL</stp>
        <stp>481</stp>
        <tr r="D484" s="1"/>
      </tp>
      <tp>
        <v>0</v>
        <stp/>
        <stp>T&amp;T0</stp>
        <stp>QUL</stp>
        <stp>482</stp>
        <tr r="D485" s="1"/>
      </tp>
      <tp>
        <v>0</v>
        <stp/>
        <stp>T&amp;T0</stp>
        <stp>QUL</stp>
        <stp>483</stp>
        <tr r="D486" s="1"/>
      </tp>
      <tp>
        <v>0</v>
        <stp/>
        <stp>T&amp;T0</stp>
        <stp>QUL</stp>
        <stp>484</stp>
        <tr r="D487" s="1"/>
      </tp>
      <tp>
        <v>0</v>
        <stp/>
        <stp>T&amp;T0</stp>
        <stp>QUL</stp>
        <stp>485</stp>
        <tr r="D488" s="1"/>
      </tp>
      <tp>
        <v>0</v>
        <stp/>
        <stp>T&amp;T0</stp>
        <stp>QUL</stp>
        <stp>486</stp>
        <tr r="D489" s="1"/>
      </tp>
      <tp>
        <v>0</v>
        <stp/>
        <stp>T&amp;T0</stp>
        <stp>QUL</stp>
        <stp>487</stp>
        <tr r="D490" s="1"/>
      </tp>
      <tp>
        <v>0</v>
        <stp/>
        <stp>T&amp;T0</stp>
        <stp>QUL</stp>
        <stp>418</stp>
        <tr r="D421" s="1"/>
      </tp>
      <tp>
        <v>0</v>
        <stp/>
        <stp>T&amp;T0</stp>
        <stp>QUL</stp>
        <stp>419</stp>
        <tr r="D422" s="1"/>
      </tp>
      <tp>
        <v>0</v>
        <stp/>
        <stp>T&amp;T0</stp>
        <stp>QUL</stp>
        <stp>410</stp>
        <tr r="D413" s="1"/>
      </tp>
      <tp>
        <v>0</v>
        <stp/>
        <stp>T&amp;T0</stp>
        <stp>QUL</stp>
        <stp>411</stp>
        <tr r="D414" s="1"/>
      </tp>
      <tp>
        <v>0</v>
        <stp/>
        <stp>T&amp;T0</stp>
        <stp>QUL</stp>
        <stp>412</stp>
        <tr r="D415" s="1"/>
      </tp>
      <tp>
        <v>0</v>
        <stp/>
        <stp>T&amp;T0</stp>
        <stp>QUL</stp>
        <stp>413</stp>
        <tr r="D416" s="1"/>
      </tp>
      <tp>
        <v>0</v>
        <stp/>
        <stp>T&amp;T0</stp>
        <stp>QUL</stp>
        <stp>414</stp>
        <tr r="D417" s="1"/>
      </tp>
      <tp>
        <v>0</v>
        <stp/>
        <stp>T&amp;T0</stp>
        <stp>QUL</stp>
        <stp>415</stp>
        <tr r="D418" s="1"/>
      </tp>
      <tp>
        <v>0</v>
        <stp/>
        <stp>T&amp;T0</stp>
        <stp>QUL</stp>
        <stp>416</stp>
        <tr r="D419" s="1"/>
      </tp>
      <tp>
        <v>0</v>
        <stp/>
        <stp>T&amp;T0</stp>
        <stp>QUL</stp>
        <stp>417</stp>
        <tr r="D420" s="1"/>
      </tp>
      <tp>
        <v>0</v>
        <stp/>
        <stp>T&amp;T0</stp>
        <stp>QUL</stp>
        <stp>408</stp>
        <tr r="D411" s="1"/>
      </tp>
      <tp>
        <v>0</v>
        <stp/>
        <stp>T&amp;T0</stp>
        <stp>QUL</stp>
        <stp>409</stp>
        <tr r="D412" s="1"/>
      </tp>
      <tp>
        <v>0</v>
        <stp/>
        <stp>T&amp;T0</stp>
        <stp>QUL</stp>
        <stp>400</stp>
        <tr r="D403" s="1"/>
      </tp>
      <tp>
        <v>0</v>
        <stp/>
        <stp>T&amp;T0</stp>
        <stp>QUL</stp>
        <stp>401</stp>
        <tr r="D404" s="1"/>
      </tp>
      <tp>
        <v>0</v>
        <stp/>
        <stp>T&amp;T0</stp>
        <stp>QUL</stp>
        <stp>402</stp>
        <tr r="D405" s="1"/>
      </tp>
      <tp>
        <v>0</v>
        <stp/>
        <stp>T&amp;T0</stp>
        <stp>QUL</stp>
        <stp>403</stp>
        <tr r="D406" s="1"/>
      </tp>
      <tp>
        <v>0</v>
        <stp/>
        <stp>T&amp;T0</stp>
        <stp>QUL</stp>
        <stp>404</stp>
        <tr r="D407" s="1"/>
      </tp>
      <tp>
        <v>0</v>
        <stp/>
        <stp>T&amp;T0</stp>
        <stp>QUL</stp>
        <stp>405</stp>
        <tr r="D408" s="1"/>
      </tp>
      <tp>
        <v>0</v>
        <stp/>
        <stp>T&amp;T0</stp>
        <stp>QUL</stp>
        <stp>406</stp>
        <tr r="D409" s="1"/>
      </tp>
      <tp>
        <v>0</v>
        <stp/>
        <stp>T&amp;T0</stp>
        <stp>QUL</stp>
        <stp>407</stp>
        <tr r="D410" s="1"/>
      </tp>
      <tp>
        <v>0</v>
        <stp/>
        <stp>T&amp;T0</stp>
        <stp>QUL</stp>
        <stp>438</stp>
        <tr r="D441" s="1"/>
      </tp>
      <tp>
        <v>0</v>
        <stp/>
        <stp>T&amp;T0</stp>
        <stp>QUL</stp>
        <stp>439</stp>
        <tr r="D442" s="1"/>
      </tp>
      <tp>
        <v>0</v>
        <stp/>
        <stp>T&amp;T0</stp>
        <stp>QUL</stp>
        <stp>430</stp>
        <tr r="D433" s="1"/>
      </tp>
      <tp>
        <v>0</v>
        <stp/>
        <stp>T&amp;T0</stp>
        <stp>QUL</stp>
        <stp>431</stp>
        <tr r="D434" s="1"/>
      </tp>
      <tp>
        <v>0</v>
        <stp/>
        <stp>T&amp;T0</stp>
        <stp>QUL</stp>
        <stp>432</stp>
        <tr r="D435" s="1"/>
      </tp>
      <tp>
        <v>0</v>
        <stp/>
        <stp>T&amp;T0</stp>
        <stp>QUL</stp>
        <stp>433</stp>
        <tr r="D436" s="1"/>
      </tp>
      <tp>
        <v>0</v>
        <stp/>
        <stp>T&amp;T0</stp>
        <stp>QUL</stp>
        <stp>434</stp>
        <tr r="D437" s="1"/>
      </tp>
      <tp>
        <v>0</v>
        <stp/>
        <stp>T&amp;T0</stp>
        <stp>QUL</stp>
        <stp>435</stp>
        <tr r="D438" s="1"/>
      </tp>
      <tp>
        <v>0</v>
        <stp/>
        <stp>T&amp;T0</stp>
        <stp>QUL</stp>
        <stp>436</stp>
        <tr r="D439" s="1"/>
      </tp>
      <tp>
        <v>0</v>
        <stp/>
        <stp>T&amp;T0</stp>
        <stp>QUL</stp>
        <stp>437</stp>
        <tr r="D440" s="1"/>
      </tp>
      <tp>
        <v>0</v>
        <stp/>
        <stp>T&amp;T0</stp>
        <stp>QUL</stp>
        <stp>428</stp>
        <tr r="D431" s="1"/>
      </tp>
      <tp>
        <v>0</v>
        <stp/>
        <stp>T&amp;T0</stp>
        <stp>QUL</stp>
        <stp>429</stp>
        <tr r="D432" s="1"/>
      </tp>
      <tp>
        <v>0</v>
        <stp/>
        <stp>T&amp;T0</stp>
        <stp>QUL</stp>
        <stp>420</stp>
        <tr r="D423" s="1"/>
      </tp>
      <tp>
        <v>0</v>
        <stp/>
        <stp>T&amp;T0</stp>
        <stp>QUL</stp>
        <stp>421</stp>
        <tr r="D424" s="1"/>
      </tp>
      <tp>
        <v>0</v>
        <stp/>
        <stp>T&amp;T0</stp>
        <stp>QUL</stp>
        <stp>422</stp>
        <tr r="D425" s="1"/>
      </tp>
      <tp>
        <v>0</v>
        <stp/>
        <stp>T&amp;T0</stp>
        <stp>QUL</stp>
        <stp>423</stp>
        <tr r="D426" s="1"/>
      </tp>
      <tp>
        <v>0</v>
        <stp/>
        <stp>T&amp;T0</stp>
        <stp>QUL</stp>
        <stp>424</stp>
        <tr r="D427" s="1"/>
      </tp>
      <tp>
        <v>0</v>
        <stp/>
        <stp>T&amp;T0</stp>
        <stp>QUL</stp>
        <stp>425</stp>
        <tr r="D428" s="1"/>
      </tp>
      <tp>
        <v>0</v>
        <stp/>
        <stp>T&amp;T0</stp>
        <stp>QUL</stp>
        <stp>426</stp>
        <tr r="D429" s="1"/>
      </tp>
      <tp>
        <v>0</v>
        <stp/>
        <stp>T&amp;T0</stp>
        <stp>QUL</stp>
        <stp>427</stp>
        <tr r="D430" s="1"/>
      </tp>
      <tp>
        <v>0</v>
        <stp/>
        <stp>T&amp;T0</stp>
        <stp>QUL</stp>
        <stp>458</stp>
        <tr r="D461" s="1"/>
      </tp>
      <tp>
        <v>0</v>
        <stp/>
        <stp>T&amp;T0</stp>
        <stp>QUL</stp>
        <stp>459</stp>
        <tr r="D462" s="1"/>
      </tp>
      <tp>
        <v>0</v>
        <stp/>
        <stp>T&amp;T0</stp>
        <stp>QUL</stp>
        <stp>450</stp>
        <tr r="D453" s="1"/>
      </tp>
      <tp>
        <v>0</v>
        <stp/>
        <stp>T&amp;T0</stp>
        <stp>QUL</stp>
        <stp>451</stp>
        <tr r="D454" s="1"/>
      </tp>
      <tp>
        <v>0</v>
        <stp/>
        <stp>T&amp;T0</stp>
        <stp>QUL</stp>
        <stp>452</stp>
        <tr r="D455" s="1"/>
      </tp>
      <tp>
        <v>0</v>
        <stp/>
        <stp>T&amp;T0</stp>
        <stp>QUL</stp>
        <stp>453</stp>
        <tr r="D456" s="1"/>
      </tp>
      <tp>
        <v>0</v>
        <stp/>
        <stp>T&amp;T0</stp>
        <stp>QUL</stp>
        <stp>454</stp>
        <tr r="D457" s="1"/>
      </tp>
      <tp>
        <v>0</v>
        <stp/>
        <stp>T&amp;T0</stp>
        <stp>QUL</stp>
        <stp>455</stp>
        <tr r="D458" s="1"/>
      </tp>
      <tp>
        <v>0</v>
        <stp/>
        <stp>T&amp;T0</stp>
        <stp>QUL</stp>
        <stp>456</stp>
        <tr r="D459" s="1"/>
      </tp>
      <tp>
        <v>0</v>
        <stp/>
        <stp>T&amp;T0</stp>
        <stp>QUL</stp>
        <stp>457</stp>
        <tr r="D460" s="1"/>
      </tp>
      <tp>
        <v>0</v>
        <stp/>
        <stp>T&amp;T0</stp>
        <stp>QUL</stp>
        <stp>448</stp>
        <tr r="D451" s="1"/>
      </tp>
      <tp>
        <v>0</v>
        <stp/>
        <stp>T&amp;T0</stp>
        <stp>QUL</stp>
        <stp>449</stp>
        <tr r="D452" s="1"/>
      </tp>
      <tp>
        <v>0</v>
        <stp/>
        <stp>T&amp;T0</stp>
        <stp>QUL</stp>
        <stp>440</stp>
        <tr r="D443" s="1"/>
      </tp>
      <tp>
        <v>0</v>
        <stp/>
        <stp>T&amp;T0</stp>
        <stp>QUL</stp>
        <stp>441</stp>
        <tr r="D444" s="1"/>
      </tp>
      <tp>
        <v>0</v>
        <stp/>
        <stp>T&amp;T0</stp>
        <stp>QUL</stp>
        <stp>442</stp>
        <tr r="D445" s="1"/>
      </tp>
      <tp>
        <v>0</v>
        <stp/>
        <stp>T&amp;T0</stp>
        <stp>QUL</stp>
        <stp>443</stp>
        <tr r="D446" s="1"/>
      </tp>
      <tp>
        <v>0</v>
        <stp/>
        <stp>T&amp;T0</stp>
        <stp>QUL</stp>
        <stp>444</stp>
        <tr r="D447" s="1"/>
      </tp>
      <tp>
        <v>0</v>
        <stp/>
        <stp>T&amp;T0</stp>
        <stp>QUL</stp>
        <stp>445</stp>
        <tr r="D448" s="1"/>
      </tp>
      <tp>
        <v>0</v>
        <stp/>
        <stp>T&amp;T0</stp>
        <stp>QUL</stp>
        <stp>446</stp>
        <tr r="D449" s="1"/>
      </tp>
      <tp>
        <v>0</v>
        <stp/>
        <stp>T&amp;T0</stp>
        <stp>QUL</stp>
        <stp>447</stp>
        <tr r="D450" s="1"/>
      </tp>
      <tp>
        <v>0</v>
        <stp/>
        <stp>T&amp;T0</stp>
        <stp>QUL</stp>
        <stp>478</stp>
        <tr r="D481" s="1"/>
      </tp>
      <tp>
        <v>0</v>
        <stp/>
        <stp>T&amp;T0</stp>
        <stp>QUL</stp>
        <stp>479</stp>
        <tr r="D482" s="1"/>
      </tp>
      <tp>
        <v>0</v>
        <stp/>
        <stp>T&amp;T0</stp>
        <stp>QUL</stp>
        <stp>470</stp>
        <tr r="D473" s="1"/>
      </tp>
      <tp>
        <v>0</v>
        <stp/>
        <stp>T&amp;T0</stp>
        <stp>QUL</stp>
        <stp>471</stp>
        <tr r="D474" s="1"/>
      </tp>
      <tp>
        <v>0</v>
        <stp/>
        <stp>T&amp;T0</stp>
        <stp>QUL</stp>
        <stp>472</stp>
        <tr r="D475" s="1"/>
      </tp>
      <tp>
        <v>0</v>
        <stp/>
        <stp>T&amp;T0</stp>
        <stp>QUL</stp>
        <stp>473</stp>
        <tr r="D476" s="1"/>
      </tp>
      <tp>
        <v>0</v>
        <stp/>
        <stp>T&amp;T0</stp>
        <stp>QUL</stp>
        <stp>474</stp>
        <tr r="D477" s="1"/>
      </tp>
      <tp>
        <v>0</v>
        <stp/>
        <stp>T&amp;T0</stp>
        <stp>QUL</stp>
        <stp>475</stp>
        <tr r="D478" s="1"/>
      </tp>
      <tp>
        <v>0</v>
        <stp/>
        <stp>T&amp;T0</stp>
        <stp>QUL</stp>
        <stp>476</stp>
        <tr r="D479" s="1"/>
      </tp>
      <tp>
        <v>0</v>
        <stp/>
        <stp>T&amp;T0</stp>
        <stp>QUL</stp>
        <stp>477</stp>
        <tr r="D480" s="1"/>
      </tp>
      <tp>
        <v>0</v>
        <stp/>
        <stp>T&amp;T0</stp>
        <stp>QUL</stp>
        <stp>468</stp>
        <tr r="D471" s="1"/>
      </tp>
      <tp>
        <v>0</v>
        <stp/>
        <stp>T&amp;T0</stp>
        <stp>QUL</stp>
        <stp>469</stp>
        <tr r="D472" s="1"/>
      </tp>
      <tp>
        <v>0</v>
        <stp/>
        <stp>T&amp;T0</stp>
        <stp>QUL</stp>
        <stp>460</stp>
        <tr r="D463" s="1"/>
      </tp>
      <tp>
        <v>0</v>
        <stp/>
        <stp>T&amp;T0</stp>
        <stp>QUL</stp>
        <stp>461</stp>
        <tr r="D464" s="1"/>
      </tp>
      <tp>
        <v>0</v>
        <stp/>
        <stp>T&amp;T0</stp>
        <stp>QUL</stp>
        <stp>462</stp>
        <tr r="D465" s="1"/>
      </tp>
      <tp>
        <v>0</v>
        <stp/>
        <stp>T&amp;T0</stp>
        <stp>QUL</stp>
        <stp>463</stp>
        <tr r="D466" s="1"/>
      </tp>
      <tp>
        <v>0</v>
        <stp/>
        <stp>T&amp;T0</stp>
        <stp>QUL</stp>
        <stp>464</stp>
        <tr r="D467" s="1"/>
      </tp>
      <tp>
        <v>0</v>
        <stp/>
        <stp>T&amp;T0</stp>
        <stp>QUL</stp>
        <stp>465</stp>
        <tr r="D468" s="1"/>
      </tp>
      <tp>
        <v>0</v>
        <stp/>
        <stp>T&amp;T0</stp>
        <stp>QUL</stp>
        <stp>466</stp>
        <tr r="D469" s="1"/>
      </tp>
      <tp>
        <v>0</v>
        <stp/>
        <stp>T&amp;T0</stp>
        <stp>QUL</stp>
        <stp>467</stp>
        <tr r="D470" s="1"/>
      </tp>
      <tp t="s">
        <v>WDOX26</v>
        <stp/>
        <stp>T&amp;T0</stp>
        <stp>INFO</stp>
        <stp>ATV</stp>
        <tr r="A1" s="1"/>
      </tp>
      <tp t="s">
        <v>-</v>
        <stp/>
        <stp>T&amp;T0</stp>
        <stp>AGR</stp>
        <stp>396</stp>
        <tr r="F399" s="1"/>
      </tp>
      <tp t="s">
        <v>-</v>
        <stp/>
        <stp>T&amp;T0</stp>
        <stp>AGR</stp>
        <stp>397</stp>
        <tr r="F400" s="1"/>
      </tp>
      <tp t="s">
        <v>-</v>
        <stp/>
        <stp>T&amp;T0</stp>
        <stp>AGR</stp>
        <stp>394</stp>
        <tr r="F397" s="1"/>
      </tp>
      <tp t="s">
        <v>-</v>
        <stp/>
        <stp>T&amp;T0</stp>
        <stp>AGR</stp>
        <stp>395</stp>
        <tr r="F398" s="1"/>
      </tp>
      <tp t="s">
        <v>-</v>
        <stp/>
        <stp>T&amp;T0</stp>
        <stp>AGR</stp>
        <stp>392</stp>
        <tr r="F395" s="1"/>
      </tp>
      <tp t="s">
        <v>-</v>
        <stp/>
        <stp>T&amp;T0</stp>
        <stp>AGR</stp>
        <stp>393</stp>
        <tr r="F396" s="1"/>
      </tp>
      <tp t="s">
        <v>-</v>
        <stp/>
        <stp>T&amp;T0</stp>
        <stp>AGR</stp>
        <stp>390</stp>
        <tr r="F393" s="1"/>
      </tp>
      <tp t="s">
        <v>-</v>
        <stp/>
        <stp>T&amp;T0</stp>
        <stp>AGR</stp>
        <stp>391</stp>
        <tr r="F394" s="1"/>
      </tp>
      <tp t="s">
        <v>-</v>
        <stp/>
        <stp>T&amp;T0</stp>
        <stp>AGR</stp>
        <stp>398</stp>
        <tr r="F401" s="1"/>
      </tp>
      <tp t="s">
        <v>-</v>
        <stp/>
        <stp>T&amp;T0</stp>
        <stp>AGR</stp>
        <stp>399</stp>
        <tr r="F402" s="1"/>
      </tp>
      <tp t="s">
        <v>-</v>
        <stp/>
        <stp>T&amp;T0</stp>
        <stp>AGR</stp>
        <stp>386</stp>
        <tr r="F389" s="1"/>
      </tp>
      <tp t="s">
        <v>-</v>
        <stp/>
        <stp>T&amp;T0</stp>
        <stp>AGR</stp>
        <stp>387</stp>
        <tr r="F390" s="1"/>
      </tp>
      <tp t="s">
        <v>-</v>
        <stp/>
        <stp>T&amp;T0</stp>
        <stp>AGR</stp>
        <stp>384</stp>
        <tr r="F387" s="1"/>
      </tp>
      <tp t="s">
        <v>-</v>
        <stp/>
        <stp>T&amp;T0</stp>
        <stp>AGR</stp>
        <stp>385</stp>
        <tr r="F388" s="1"/>
      </tp>
      <tp t="s">
        <v>-</v>
        <stp/>
        <stp>T&amp;T0</stp>
        <stp>AGR</stp>
        <stp>382</stp>
        <tr r="F385" s="1"/>
      </tp>
      <tp t="s">
        <v>-</v>
        <stp/>
        <stp>T&amp;T0</stp>
        <stp>AGR</stp>
        <stp>383</stp>
        <tr r="F386" s="1"/>
      </tp>
      <tp t="s">
        <v>-</v>
        <stp/>
        <stp>T&amp;T0</stp>
        <stp>AGR</stp>
        <stp>380</stp>
        <tr r="F383" s="1"/>
      </tp>
      <tp t="s">
        <v>-</v>
        <stp/>
        <stp>T&amp;T0</stp>
        <stp>AGR</stp>
        <stp>381</stp>
        <tr r="F384" s="1"/>
      </tp>
      <tp t="s">
        <v>-</v>
        <stp/>
        <stp>T&amp;T0</stp>
        <stp>AGR</stp>
        <stp>388</stp>
        <tr r="F391" s="1"/>
      </tp>
      <tp t="s">
        <v>-</v>
        <stp/>
        <stp>T&amp;T0</stp>
        <stp>AGR</stp>
        <stp>389</stp>
        <tr r="F392" s="1"/>
      </tp>
      <tp t="s">
        <v>-</v>
        <stp/>
        <stp>T&amp;T0</stp>
        <stp>ACP</stp>
        <stp>394</stp>
        <tr r="B397" s="1"/>
      </tp>
      <tp t="s">
        <v>-</v>
        <stp/>
        <stp>T&amp;T0</stp>
        <stp>ACP</stp>
        <stp>395</stp>
        <tr r="B398" s="1"/>
      </tp>
      <tp t="s">
        <v>-</v>
        <stp/>
        <stp>T&amp;T0</stp>
        <stp>ACP</stp>
        <stp>396</stp>
        <tr r="B399" s="1"/>
      </tp>
      <tp t="s">
        <v>-</v>
        <stp/>
        <stp>T&amp;T0</stp>
        <stp>ACP</stp>
        <stp>397</stp>
        <tr r="B400" s="1"/>
      </tp>
      <tp t="s">
        <v>-</v>
        <stp/>
        <stp>T&amp;T0</stp>
        <stp>ACP</stp>
        <stp>390</stp>
        <tr r="B393" s="1"/>
      </tp>
      <tp t="s">
        <v>-</v>
        <stp/>
        <stp>T&amp;T0</stp>
        <stp>ACP</stp>
        <stp>391</stp>
        <tr r="B394" s="1"/>
      </tp>
      <tp t="s">
        <v>-</v>
        <stp/>
        <stp>T&amp;T0</stp>
        <stp>ACP</stp>
        <stp>392</stp>
        <tr r="B395" s="1"/>
      </tp>
      <tp t="s">
        <v>-</v>
        <stp/>
        <stp>T&amp;T0</stp>
        <stp>ACP</stp>
        <stp>393</stp>
        <tr r="B396" s="1"/>
      </tp>
      <tp t="s">
        <v>-</v>
        <stp/>
        <stp>T&amp;T0</stp>
        <stp>ACP</stp>
        <stp>398</stp>
        <tr r="B401" s="1"/>
      </tp>
      <tp t="s">
        <v>-</v>
        <stp/>
        <stp>T&amp;T0</stp>
        <stp>ACP</stp>
        <stp>399</stp>
        <tr r="B402" s="1"/>
      </tp>
      <tp t="s">
        <v>-</v>
        <stp/>
        <stp>T&amp;T0</stp>
        <stp>ACP</stp>
        <stp>384</stp>
        <tr r="B387" s="1"/>
      </tp>
      <tp t="s">
        <v>-</v>
        <stp/>
        <stp>T&amp;T0</stp>
        <stp>ACP</stp>
        <stp>385</stp>
        <tr r="B388" s="1"/>
      </tp>
      <tp t="s">
        <v>-</v>
        <stp/>
        <stp>T&amp;T0</stp>
        <stp>ACP</stp>
        <stp>386</stp>
        <tr r="B389" s="1"/>
      </tp>
      <tp t="s">
        <v>-</v>
        <stp/>
        <stp>T&amp;T0</stp>
        <stp>ACP</stp>
        <stp>387</stp>
        <tr r="B390" s="1"/>
      </tp>
      <tp t="s">
        <v>-</v>
        <stp/>
        <stp>T&amp;T0</stp>
        <stp>ACP</stp>
        <stp>380</stp>
        <tr r="B383" s="1"/>
      </tp>
      <tp t="s">
        <v>-</v>
        <stp/>
        <stp>T&amp;T0</stp>
        <stp>ACP</stp>
        <stp>381</stp>
        <tr r="B384" s="1"/>
      </tp>
      <tp t="s">
        <v>-</v>
        <stp/>
        <stp>T&amp;T0</stp>
        <stp>ACP</stp>
        <stp>382</stp>
        <tr r="B385" s="1"/>
      </tp>
      <tp t="s">
        <v>-</v>
        <stp/>
        <stp>T&amp;T0</stp>
        <stp>ACP</stp>
        <stp>383</stp>
        <tr r="B386" s="1"/>
      </tp>
      <tp t="s">
        <v>-</v>
        <stp/>
        <stp>T&amp;T0</stp>
        <stp>ACP</stp>
        <stp>388</stp>
        <tr r="B391" s="1"/>
      </tp>
      <tp t="s">
        <v>-</v>
        <stp/>
        <stp>T&amp;T0</stp>
        <stp>ACP</stp>
        <stp>389</stp>
        <tr r="B392" s="1"/>
      </tp>
      <tp t="s">
        <v>-</v>
        <stp/>
        <stp>T&amp;T0</stp>
        <stp>ACP</stp>
        <stp>374</stp>
        <tr r="B377" s="1"/>
      </tp>
      <tp t="s">
        <v>-</v>
        <stp/>
        <stp>T&amp;T0</stp>
        <stp>AGR</stp>
        <stp>336</stp>
        <tr r="F339" s="1"/>
      </tp>
      <tp t="s">
        <v>-</v>
        <stp/>
        <stp>T&amp;T0</stp>
        <stp>ACP</stp>
        <stp>375</stp>
        <tr r="B378" s="1"/>
      </tp>
      <tp t="s">
        <v>-</v>
        <stp/>
        <stp>T&amp;T0</stp>
        <stp>AGR</stp>
        <stp>337</stp>
        <tr r="F340" s="1"/>
      </tp>
      <tp t="s">
        <v>-</v>
        <stp/>
        <stp>T&amp;T0</stp>
        <stp>ACP</stp>
        <stp>376</stp>
        <tr r="B379" s="1"/>
      </tp>
      <tp t="s">
        <v>-</v>
        <stp/>
        <stp>T&amp;T0</stp>
        <stp>AGR</stp>
        <stp>334</stp>
        <tr r="F337" s="1"/>
      </tp>
      <tp t="s">
        <v>-</v>
        <stp/>
        <stp>T&amp;T0</stp>
        <stp>ACP</stp>
        <stp>377</stp>
        <tr r="B380" s="1"/>
      </tp>
      <tp t="s">
        <v>-</v>
        <stp/>
        <stp>T&amp;T0</stp>
        <stp>AGR</stp>
        <stp>335</stp>
        <tr r="F338" s="1"/>
      </tp>
      <tp t="s">
        <v>-</v>
        <stp/>
        <stp>T&amp;T0</stp>
        <stp>ACP</stp>
        <stp>370</stp>
        <tr r="B373" s="1"/>
      </tp>
      <tp t="s">
        <v>-</v>
        <stp/>
        <stp>T&amp;T0</stp>
        <stp>AGR</stp>
        <stp>332</stp>
        <tr r="F335" s="1"/>
      </tp>
      <tp t="s">
        <v>-</v>
        <stp/>
        <stp>T&amp;T0</stp>
        <stp>ACP</stp>
        <stp>371</stp>
        <tr r="B374" s="1"/>
      </tp>
      <tp t="s">
        <v>-</v>
        <stp/>
        <stp>T&amp;T0</stp>
        <stp>AGR</stp>
        <stp>333</stp>
        <tr r="F336" s="1"/>
      </tp>
      <tp t="s">
        <v>-</v>
        <stp/>
        <stp>T&amp;T0</stp>
        <stp>ACP</stp>
        <stp>372</stp>
        <tr r="B375" s="1"/>
      </tp>
      <tp t="s">
        <v>-</v>
        <stp/>
        <stp>T&amp;T0</stp>
        <stp>AGR</stp>
        <stp>330</stp>
        <tr r="F333" s="1"/>
      </tp>
      <tp t="s">
        <v>-</v>
        <stp/>
        <stp>T&amp;T0</stp>
        <stp>ACP</stp>
        <stp>373</stp>
        <tr r="B376" s="1"/>
      </tp>
      <tp t="s">
        <v>-</v>
        <stp/>
        <stp>T&amp;T0</stp>
        <stp>AGR</stp>
        <stp>331</stp>
        <tr r="F334" s="1"/>
      </tp>
      <tp t="s">
        <v>-</v>
        <stp/>
        <stp>T&amp;T0</stp>
        <stp>ACP</stp>
        <stp>378</stp>
        <tr r="B381" s="1"/>
      </tp>
      <tp t="s">
        <v>-</v>
        <stp/>
        <stp>T&amp;T0</stp>
        <stp>ACP</stp>
        <stp>379</stp>
        <tr r="B382" s="1"/>
      </tp>
      <tp t="s">
        <v>-</v>
        <stp/>
        <stp>T&amp;T0</stp>
        <stp>AGR</stp>
        <stp>338</stp>
        <tr r="F341" s="1"/>
      </tp>
      <tp t="s">
        <v>-</v>
        <stp/>
        <stp>T&amp;T0</stp>
        <stp>AGR</stp>
        <stp>339</stp>
        <tr r="F342" s="1"/>
      </tp>
      <tp t="s">
        <v>-</v>
        <stp/>
        <stp>T&amp;T0</stp>
        <stp>ACP</stp>
        <stp>364</stp>
        <tr r="B367" s="1"/>
      </tp>
      <tp t="s">
        <v>-</v>
        <stp/>
        <stp>T&amp;T0</stp>
        <stp>AGR</stp>
        <stp>326</stp>
        <tr r="F329" s="1"/>
      </tp>
      <tp t="s">
        <v>-</v>
        <stp/>
        <stp>T&amp;T0</stp>
        <stp>ACP</stp>
        <stp>365</stp>
        <tr r="B368" s="1"/>
      </tp>
      <tp t="s">
        <v>-</v>
        <stp/>
        <stp>T&amp;T0</stp>
        <stp>AGR</stp>
        <stp>327</stp>
        <tr r="F330" s="1"/>
      </tp>
      <tp t="s">
        <v>-</v>
        <stp/>
        <stp>T&amp;T0</stp>
        <stp>ACP</stp>
        <stp>366</stp>
        <tr r="B369" s="1"/>
      </tp>
      <tp t="s">
        <v>-</v>
        <stp/>
        <stp>T&amp;T0</stp>
        <stp>AGR</stp>
        <stp>324</stp>
        <tr r="F327" s="1"/>
      </tp>
      <tp t="s">
        <v>-</v>
        <stp/>
        <stp>T&amp;T0</stp>
        <stp>ACP</stp>
        <stp>367</stp>
        <tr r="B370" s="1"/>
      </tp>
      <tp t="s">
        <v>-</v>
        <stp/>
        <stp>T&amp;T0</stp>
        <stp>AGR</stp>
        <stp>325</stp>
        <tr r="F328" s="1"/>
      </tp>
      <tp t="s">
        <v>-</v>
        <stp/>
        <stp>T&amp;T0</stp>
        <stp>ACP</stp>
        <stp>360</stp>
        <tr r="B363" s="1"/>
      </tp>
      <tp t="s">
        <v>-</v>
        <stp/>
        <stp>T&amp;T0</stp>
        <stp>AGR</stp>
        <stp>322</stp>
        <tr r="F325" s="1"/>
      </tp>
      <tp t="s">
        <v>-</v>
        <stp/>
        <stp>T&amp;T0</stp>
        <stp>ACP</stp>
        <stp>361</stp>
        <tr r="B364" s="1"/>
      </tp>
      <tp t="s">
        <v>-</v>
        <stp/>
        <stp>T&amp;T0</stp>
        <stp>AGR</stp>
        <stp>323</stp>
        <tr r="F326" s="1"/>
      </tp>
      <tp t="s">
        <v>-</v>
        <stp/>
        <stp>T&amp;T0</stp>
        <stp>ACP</stp>
        <stp>362</stp>
        <tr r="B365" s="1"/>
      </tp>
      <tp t="s">
        <v>-</v>
        <stp/>
        <stp>T&amp;T0</stp>
        <stp>AGR</stp>
        <stp>320</stp>
        <tr r="F323" s="1"/>
      </tp>
      <tp t="s">
        <v>-</v>
        <stp/>
        <stp>T&amp;T0</stp>
        <stp>ACP</stp>
        <stp>363</stp>
        <tr r="B366" s="1"/>
      </tp>
      <tp t="s">
        <v>-</v>
        <stp/>
        <stp>T&amp;T0</stp>
        <stp>AGR</stp>
        <stp>321</stp>
        <tr r="F324" s="1"/>
      </tp>
      <tp t="s">
        <v>-</v>
        <stp/>
        <stp>T&amp;T0</stp>
        <stp>ACP</stp>
        <stp>368</stp>
        <tr r="B371" s="1"/>
      </tp>
      <tp t="s">
        <v>-</v>
        <stp/>
        <stp>T&amp;T0</stp>
        <stp>ACP</stp>
        <stp>369</stp>
        <tr r="B372" s="1"/>
      </tp>
      <tp t="s">
        <v>-</v>
        <stp/>
        <stp>T&amp;T0</stp>
        <stp>AGR</stp>
        <stp>328</stp>
        <tr r="F331" s="1"/>
      </tp>
      <tp t="s">
        <v>-</v>
        <stp/>
        <stp>T&amp;T0</stp>
        <stp>AGR</stp>
        <stp>329</stp>
        <tr r="F332" s="1"/>
      </tp>
      <tp t="s">
        <v>-</v>
        <stp/>
        <stp>T&amp;T0</stp>
        <stp>ACP</stp>
        <stp>354</stp>
        <tr r="B357" s="1"/>
      </tp>
      <tp t="s">
        <v>-</v>
        <stp/>
        <stp>T&amp;T0</stp>
        <stp>AGR</stp>
        <stp>316</stp>
        <tr r="F319" s="1"/>
      </tp>
      <tp t="s">
        <v>-</v>
        <stp/>
        <stp>T&amp;T0</stp>
        <stp>ACP</stp>
        <stp>355</stp>
        <tr r="B358" s="1"/>
      </tp>
      <tp t="s">
        <v>-</v>
        <stp/>
        <stp>T&amp;T0</stp>
        <stp>AGR</stp>
        <stp>317</stp>
        <tr r="F320" s="1"/>
      </tp>
      <tp t="s">
        <v>-</v>
        <stp/>
        <stp>T&amp;T0</stp>
        <stp>ACP</stp>
        <stp>356</stp>
        <tr r="B359" s="1"/>
      </tp>
      <tp t="s">
        <v>-</v>
        <stp/>
        <stp>T&amp;T0</stp>
        <stp>AGR</stp>
        <stp>314</stp>
        <tr r="F317" s="1"/>
      </tp>
      <tp t="s">
        <v>-</v>
        <stp/>
        <stp>T&amp;T0</stp>
        <stp>ACP</stp>
        <stp>357</stp>
        <tr r="B360" s="1"/>
      </tp>
      <tp t="s">
        <v>-</v>
        <stp/>
        <stp>T&amp;T0</stp>
        <stp>AGR</stp>
        <stp>315</stp>
        <tr r="F318" s="1"/>
      </tp>
      <tp t="s">
        <v>-</v>
        <stp/>
        <stp>T&amp;T0</stp>
        <stp>ACP</stp>
        <stp>350</stp>
        <tr r="B353" s="1"/>
      </tp>
      <tp t="s">
        <v>-</v>
        <stp/>
        <stp>T&amp;T0</stp>
        <stp>AGR</stp>
        <stp>312</stp>
        <tr r="F315" s="1"/>
      </tp>
      <tp t="s">
        <v>-</v>
        <stp/>
        <stp>T&amp;T0</stp>
        <stp>ACP</stp>
        <stp>351</stp>
        <tr r="B354" s="1"/>
      </tp>
      <tp t="s">
        <v>-</v>
        <stp/>
        <stp>T&amp;T0</stp>
        <stp>AGR</stp>
        <stp>313</stp>
        <tr r="F316" s="1"/>
      </tp>
      <tp t="s">
        <v>-</v>
        <stp/>
        <stp>T&amp;T0</stp>
        <stp>ACP</stp>
        <stp>352</stp>
        <tr r="B355" s="1"/>
      </tp>
      <tp t="s">
        <v>-</v>
        <stp/>
        <stp>T&amp;T0</stp>
        <stp>AGR</stp>
        <stp>310</stp>
        <tr r="F313" s="1"/>
      </tp>
      <tp t="s">
        <v>-</v>
        <stp/>
        <stp>T&amp;T0</stp>
        <stp>ACP</stp>
        <stp>353</stp>
        <tr r="B356" s="1"/>
      </tp>
      <tp t="s">
        <v>-</v>
        <stp/>
        <stp>T&amp;T0</stp>
        <stp>AGR</stp>
        <stp>311</stp>
        <tr r="F314" s="1"/>
      </tp>
      <tp t="s">
        <v>-</v>
        <stp/>
        <stp>T&amp;T0</stp>
        <stp>ACP</stp>
        <stp>358</stp>
        <tr r="B361" s="1"/>
      </tp>
      <tp t="s">
        <v>-</v>
        <stp/>
        <stp>T&amp;T0</stp>
        <stp>ACP</stp>
        <stp>359</stp>
        <tr r="B362" s="1"/>
      </tp>
      <tp t="s">
        <v>-</v>
        <stp/>
        <stp>T&amp;T0</stp>
        <stp>AGR</stp>
        <stp>318</stp>
        <tr r="F321" s="1"/>
      </tp>
      <tp t="s">
        <v>-</v>
        <stp/>
        <stp>T&amp;T0</stp>
        <stp>AGR</stp>
        <stp>319</stp>
        <tr r="F322" s="1"/>
      </tp>
      <tp t="s">
        <v>-</v>
        <stp/>
        <stp>T&amp;T0</stp>
        <stp>ACP</stp>
        <stp>344</stp>
        <tr r="B347" s="1"/>
      </tp>
      <tp t="s">
        <v>-</v>
        <stp/>
        <stp>T&amp;T0</stp>
        <stp>AGR</stp>
        <stp>306</stp>
        <tr r="F309" s="1"/>
      </tp>
      <tp t="s">
        <v>-</v>
        <stp/>
        <stp>T&amp;T0</stp>
        <stp>ACP</stp>
        <stp>345</stp>
        <tr r="B348" s="1"/>
      </tp>
      <tp t="s">
        <v>-</v>
        <stp/>
        <stp>T&amp;T0</stp>
        <stp>AGR</stp>
        <stp>307</stp>
        <tr r="F310" s="1"/>
      </tp>
      <tp t="s">
        <v>-</v>
        <stp/>
        <stp>T&amp;T0</stp>
        <stp>ACP</stp>
        <stp>346</stp>
        <tr r="B349" s="1"/>
      </tp>
      <tp t="s">
        <v>-</v>
        <stp/>
        <stp>T&amp;T0</stp>
        <stp>AGR</stp>
        <stp>304</stp>
        <tr r="F307" s="1"/>
      </tp>
      <tp t="s">
        <v>-</v>
        <stp/>
        <stp>T&amp;T0</stp>
        <stp>ACP</stp>
        <stp>347</stp>
        <tr r="B350" s="1"/>
      </tp>
      <tp t="s">
        <v>-</v>
        <stp/>
        <stp>T&amp;T0</stp>
        <stp>AGR</stp>
        <stp>305</stp>
        <tr r="F308" s="1"/>
      </tp>
      <tp t="s">
        <v>-</v>
        <stp/>
        <stp>T&amp;T0</stp>
        <stp>ACP</stp>
        <stp>340</stp>
        <tr r="B343" s="1"/>
      </tp>
      <tp t="s">
        <v>-</v>
        <stp/>
        <stp>T&amp;T0</stp>
        <stp>AGR</stp>
        <stp>302</stp>
        <tr r="F305" s="1"/>
      </tp>
      <tp t="s">
        <v>-</v>
        <stp/>
        <stp>T&amp;T0</stp>
        <stp>ACP</stp>
        <stp>341</stp>
        <tr r="B344" s="1"/>
      </tp>
      <tp t="s">
        <v>-</v>
        <stp/>
        <stp>T&amp;T0</stp>
        <stp>AGR</stp>
        <stp>303</stp>
        <tr r="F306" s="1"/>
      </tp>
      <tp t="s">
        <v>-</v>
        <stp/>
        <stp>T&amp;T0</stp>
        <stp>ACP</stp>
        <stp>342</stp>
        <tr r="B345" s="1"/>
      </tp>
      <tp t="s">
        <v>-</v>
        <stp/>
        <stp>T&amp;T0</stp>
        <stp>AGR</stp>
        <stp>300</stp>
        <tr r="F303" s="1"/>
      </tp>
      <tp t="s">
        <v>-</v>
        <stp/>
        <stp>T&amp;T0</stp>
        <stp>ACP</stp>
        <stp>343</stp>
        <tr r="B346" s="1"/>
      </tp>
      <tp t="s">
        <v>-</v>
        <stp/>
        <stp>T&amp;T0</stp>
        <stp>AGR</stp>
        <stp>301</stp>
        <tr r="F304" s="1"/>
      </tp>
      <tp t="s">
        <v>-</v>
        <stp/>
        <stp>T&amp;T0</stp>
        <stp>ACP</stp>
        <stp>348</stp>
        <tr r="B351" s="1"/>
      </tp>
      <tp t="s">
        <v>-</v>
        <stp/>
        <stp>T&amp;T0</stp>
        <stp>ACP</stp>
        <stp>349</stp>
        <tr r="B352" s="1"/>
      </tp>
      <tp t="s">
        <v>-</v>
        <stp/>
        <stp>T&amp;T0</stp>
        <stp>AGR</stp>
        <stp>308</stp>
        <tr r="F311" s="1"/>
      </tp>
      <tp t="s">
        <v>-</v>
        <stp/>
        <stp>T&amp;T0</stp>
        <stp>AGR</stp>
        <stp>309</stp>
        <tr r="F312" s="1"/>
      </tp>
      <tp t="s">
        <v>-</v>
        <stp/>
        <stp>T&amp;T0</stp>
        <stp>ACP</stp>
        <stp>334</stp>
        <tr r="B337" s="1"/>
      </tp>
      <tp t="s">
        <v>-</v>
        <stp/>
        <stp>T&amp;T0</stp>
        <stp>AGR</stp>
        <stp>376</stp>
        <tr r="F379" s="1"/>
      </tp>
      <tp t="s">
        <v>-</v>
        <stp/>
        <stp>T&amp;T0</stp>
        <stp>ACP</stp>
        <stp>335</stp>
        <tr r="B338" s="1"/>
      </tp>
      <tp t="s">
        <v>-</v>
        <stp/>
        <stp>T&amp;T0</stp>
        <stp>AGR</stp>
        <stp>377</stp>
        <tr r="F380" s="1"/>
      </tp>
      <tp t="s">
        <v>-</v>
        <stp/>
        <stp>T&amp;T0</stp>
        <stp>ACP</stp>
        <stp>336</stp>
        <tr r="B339" s="1"/>
      </tp>
      <tp t="s">
        <v>-</v>
        <stp/>
        <stp>T&amp;T0</stp>
        <stp>AGR</stp>
        <stp>374</stp>
        <tr r="F377" s="1"/>
      </tp>
      <tp t="s">
        <v>-</v>
        <stp/>
        <stp>T&amp;T0</stp>
        <stp>ACP</stp>
        <stp>337</stp>
        <tr r="B340" s="1"/>
      </tp>
      <tp t="s">
        <v>-</v>
        <stp/>
        <stp>T&amp;T0</stp>
        <stp>AGR</stp>
        <stp>375</stp>
        <tr r="F378" s="1"/>
      </tp>
      <tp t="s">
        <v>-</v>
        <stp/>
        <stp>T&amp;T0</stp>
        <stp>ACP</stp>
        <stp>330</stp>
        <tr r="B333" s="1"/>
      </tp>
      <tp t="s">
        <v>-</v>
        <stp/>
        <stp>T&amp;T0</stp>
        <stp>AGR</stp>
        <stp>372</stp>
        <tr r="F375" s="1"/>
      </tp>
      <tp t="s">
        <v>-</v>
        <stp/>
        <stp>T&amp;T0</stp>
        <stp>ACP</stp>
        <stp>331</stp>
        <tr r="B334" s="1"/>
      </tp>
      <tp t="s">
        <v>-</v>
        <stp/>
        <stp>T&amp;T0</stp>
        <stp>AGR</stp>
        <stp>373</stp>
        <tr r="F376" s="1"/>
      </tp>
      <tp t="s">
        <v>-</v>
        <stp/>
        <stp>T&amp;T0</stp>
        <stp>ACP</stp>
        <stp>332</stp>
        <tr r="B335" s="1"/>
      </tp>
      <tp t="s">
        <v>-</v>
        <stp/>
        <stp>T&amp;T0</stp>
        <stp>AGR</stp>
        <stp>370</stp>
        <tr r="F373" s="1"/>
      </tp>
      <tp t="s">
        <v>-</v>
        <stp/>
        <stp>T&amp;T0</stp>
        <stp>ACP</stp>
        <stp>333</stp>
        <tr r="B336" s="1"/>
      </tp>
      <tp t="s">
        <v>-</v>
        <stp/>
        <stp>T&amp;T0</stp>
        <stp>AGR</stp>
        <stp>371</stp>
        <tr r="F374" s="1"/>
      </tp>
      <tp t="s">
        <v>-</v>
        <stp/>
        <stp>T&amp;T0</stp>
        <stp>ACP</stp>
        <stp>338</stp>
        <tr r="B341" s="1"/>
      </tp>
      <tp t="s">
        <v>-</v>
        <stp/>
        <stp>T&amp;T0</stp>
        <stp>ACP</stp>
        <stp>339</stp>
        <tr r="B342" s="1"/>
      </tp>
      <tp t="s">
        <v>-</v>
        <stp/>
        <stp>T&amp;T0</stp>
        <stp>AGR</stp>
        <stp>378</stp>
        <tr r="F381" s="1"/>
      </tp>
      <tp t="s">
        <v>-</v>
        <stp/>
        <stp>T&amp;T0</stp>
        <stp>AGR</stp>
        <stp>379</stp>
        <tr r="F382" s="1"/>
      </tp>
      <tp t="s">
        <v>-</v>
        <stp/>
        <stp>T&amp;T0</stp>
        <stp>ACP</stp>
        <stp>324</stp>
        <tr r="B327" s="1"/>
      </tp>
      <tp t="s">
        <v>-</v>
        <stp/>
        <stp>T&amp;T0</stp>
        <stp>AGR</stp>
        <stp>366</stp>
        <tr r="F369" s="1"/>
      </tp>
      <tp t="s">
        <v>-</v>
        <stp/>
        <stp>T&amp;T0</stp>
        <stp>ACP</stp>
        <stp>325</stp>
        <tr r="B328" s="1"/>
      </tp>
      <tp t="s">
        <v>-</v>
        <stp/>
        <stp>T&amp;T0</stp>
        <stp>AGR</stp>
        <stp>367</stp>
        <tr r="F370" s="1"/>
      </tp>
      <tp t="s">
        <v>-</v>
        <stp/>
        <stp>T&amp;T0</stp>
        <stp>ACP</stp>
        <stp>326</stp>
        <tr r="B329" s="1"/>
      </tp>
      <tp t="s">
        <v>-</v>
        <stp/>
        <stp>T&amp;T0</stp>
        <stp>AGR</stp>
        <stp>364</stp>
        <tr r="F367" s="1"/>
      </tp>
      <tp t="s">
        <v>-</v>
        <stp/>
        <stp>T&amp;T0</stp>
        <stp>ACP</stp>
        <stp>327</stp>
        <tr r="B330" s="1"/>
      </tp>
      <tp t="s">
        <v>-</v>
        <stp/>
        <stp>T&amp;T0</stp>
        <stp>AGR</stp>
        <stp>365</stp>
        <tr r="F368" s="1"/>
      </tp>
      <tp t="s">
        <v>-</v>
        <stp/>
        <stp>T&amp;T0</stp>
        <stp>ACP</stp>
        <stp>320</stp>
        <tr r="B323" s="1"/>
      </tp>
      <tp t="s">
        <v>-</v>
        <stp/>
        <stp>T&amp;T0</stp>
        <stp>AGR</stp>
        <stp>362</stp>
        <tr r="F365" s="1"/>
      </tp>
      <tp t="s">
        <v>-</v>
        <stp/>
        <stp>T&amp;T0</stp>
        <stp>ACP</stp>
        <stp>321</stp>
        <tr r="B324" s="1"/>
      </tp>
      <tp t="s">
        <v>-</v>
        <stp/>
        <stp>T&amp;T0</stp>
        <stp>AGR</stp>
        <stp>363</stp>
        <tr r="F366" s="1"/>
      </tp>
      <tp t="s">
        <v>-</v>
        <stp/>
        <stp>T&amp;T0</stp>
        <stp>ACP</stp>
        <stp>322</stp>
        <tr r="B325" s="1"/>
      </tp>
      <tp t="s">
        <v>-</v>
        <stp/>
        <stp>T&amp;T0</stp>
        <stp>AGR</stp>
        <stp>360</stp>
        <tr r="F363" s="1"/>
      </tp>
      <tp t="s">
        <v>-</v>
        <stp/>
        <stp>T&amp;T0</stp>
        <stp>ACP</stp>
        <stp>323</stp>
        <tr r="B326" s="1"/>
      </tp>
      <tp t="s">
        <v>-</v>
        <stp/>
        <stp>T&amp;T0</stp>
        <stp>AGR</stp>
        <stp>361</stp>
        <tr r="F364" s="1"/>
      </tp>
      <tp t="s">
        <v>-</v>
        <stp/>
        <stp>T&amp;T0</stp>
        <stp>ACP</stp>
        <stp>328</stp>
        <tr r="B331" s="1"/>
      </tp>
      <tp t="s">
        <v>-</v>
        <stp/>
        <stp>T&amp;T0</stp>
        <stp>ACP</stp>
        <stp>329</stp>
        <tr r="B332" s="1"/>
      </tp>
      <tp t="s">
        <v>-</v>
        <stp/>
        <stp>T&amp;T0</stp>
        <stp>AGR</stp>
        <stp>368</stp>
        <tr r="F371" s="1"/>
      </tp>
      <tp t="s">
        <v>-</v>
        <stp/>
        <stp>T&amp;T0</stp>
        <stp>AGR</stp>
        <stp>369</stp>
        <tr r="F372" s="1"/>
      </tp>
      <tp t="s">
        <v>-</v>
        <stp/>
        <stp>T&amp;T0</stp>
        <stp>ACP</stp>
        <stp>314</stp>
        <tr r="B317" s="1"/>
      </tp>
      <tp t="s">
        <v>-</v>
        <stp/>
        <stp>T&amp;T0</stp>
        <stp>AGR</stp>
        <stp>356</stp>
        <tr r="F359" s="1"/>
      </tp>
      <tp t="s">
        <v>-</v>
        <stp/>
        <stp>T&amp;T0</stp>
        <stp>ACP</stp>
        <stp>315</stp>
        <tr r="B318" s="1"/>
      </tp>
      <tp t="s">
        <v>-</v>
        <stp/>
        <stp>T&amp;T0</stp>
        <stp>AGR</stp>
        <stp>357</stp>
        <tr r="F360" s="1"/>
      </tp>
      <tp t="s">
        <v>-</v>
        <stp/>
        <stp>T&amp;T0</stp>
        <stp>ACP</stp>
        <stp>316</stp>
        <tr r="B319" s="1"/>
      </tp>
      <tp t="s">
        <v>-</v>
        <stp/>
        <stp>T&amp;T0</stp>
        <stp>AGR</stp>
        <stp>354</stp>
        <tr r="F357" s="1"/>
      </tp>
      <tp t="s">
        <v>-</v>
        <stp/>
        <stp>T&amp;T0</stp>
        <stp>ACP</stp>
        <stp>317</stp>
        <tr r="B320" s="1"/>
      </tp>
      <tp t="s">
        <v>-</v>
        <stp/>
        <stp>T&amp;T0</stp>
        <stp>AGR</stp>
        <stp>355</stp>
        <tr r="F358" s="1"/>
      </tp>
      <tp t="s">
        <v>-</v>
        <stp/>
        <stp>T&amp;T0</stp>
        <stp>ACP</stp>
        <stp>310</stp>
        <tr r="B313" s="1"/>
      </tp>
      <tp t="s">
        <v>-</v>
        <stp/>
        <stp>T&amp;T0</stp>
        <stp>AGR</stp>
        <stp>352</stp>
        <tr r="F355" s="1"/>
      </tp>
      <tp t="s">
        <v>-</v>
        <stp/>
        <stp>T&amp;T0</stp>
        <stp>ACP</stp>
        <stp>311</stp>
        <tr r="B314" s="1"/>
      </tp>
      <tp t="s">
        <v>-</v>
        <stp/>
        <stp>T&amp;T0</stp>
        <stp>AGR</stp>
        <stp>353</stp>
        <tr r="F356" s="1"/>
      </tp>
      <tp t="s">
        <v>-</v>
        <stp/>
        <stp>T&amp;T0</stp>
        <stp>ACP</stp>
        <stp>312</stp>
        <tr r="B315" s="1"/>
      </tp>
      <tp t="s">
        <v>-</v>
        <stp/>
        <stp>T&amp;T0</stp>
        <stp>AGR</stp>
        <stp>350</stp>
        <tr r="F353" s="1"/>
      </tp>
      <tp t="s">
        <v>-</v>
        <stp/>
        <stp>T&amp;T0</stp>
        <stp>ACP</stp>
        <stp>313</stp>
        <tr r="B316" s="1"/>
      </tp>
      <tp t="s">
        <v>-</v>
        <stp/>
        <stp>T&amp;T0</stp>
        <stp>AGR</stp>
        <stp>351</stp>
        <tr r="F354" s="1"/>
      </tp>
      <tp t="s">
        <v>-</v>
        <stp/>
        <stp>T&amp;T0</stp>
        <stp>ACP</stp>
        <stp>318</stp>
        <tr r="B321" s="1"/>
      </tp>
      <tp t="s">
        <v>-</v>
        <stp/>
        <stp>T&amp;T0</stp>
        <stp>ACP</stp>
        <stp>319</stp>
        <tr r="B322" s="1"/>
      </tp>
      <tp t="s">
        <v>-</v>
        <stp/>
        <stp>T&amp;T0</stp>
        <stp>AGR</stp>
        <stp>358</stp>
        <tr r="F361" s="1"/>
      </tp>
      <tp t="s">
        <v>-</v>
        <stp/>
        <stp>T&amp;T0</stp>
        <stp>AGR</stp>
        <stp>359</stp>
        <tr r="F362" s="1"/>
      </tp>
      <tp t="s">
        <v>-</v>
        <stp/>
        <stp>T&amp;T0</stp>
        <stp>ACP</stp>
        <stp>304</stp>
        <tr r="B307" s="1"/>
      </tp>
      <tp t="s">
        <v>-</v>
        <stp/>
        <stp>T&amp;T0</stp>
        <stp>AGR</stp>
        <stp>346</stp>
        <tr r="F349" s="1"/>
      </tp>
      <tp t="s">
        <v>-</v>
        <stp/>
        <stp>T&amp;T0</stp>
        <stp>ACP</stp>
        <stp>305</stp>
        <tr r="B308" s="1"/>
      </tp>
      <tp t="s">
        <v>-</v>
        <stp/>
        <stp>T&amp;T0</stp>
        <stp>AGR</stp>
        <stp>347</stp>
        <tr r="F350" s="1"/>
      </tp>
      <tp t="s">
        <v>-</v>
        <stp/>
        <stp>T&amp;T0</stp>
        <stp>ACP</stp>
        <stp>306</stp>
        <tr r="B309" s="1"/>
      </tp>
      <tp t="s">
        <v>-</v>
        <stp/>
        <stp>T&amp;T0</stp>
        <stp>AGR</stp>
        <stp>344</stp>
        <tr r="F347" s="1"/>
      </tp>
      <tp t="s">
        <v>-</v>
        <stp/>
        <stp>T&amp;T0</stp>
        <stp>ACP</stp>
        <stp>307</stp>
        <tr r="B310" s="1"/>
      </tp>
      <tp t="s">
        <v>-</v>
        <stp/>
        <stp>T&amp;T0</stp>
        <stp>AGR</stp>
        <stp>345</stp>
        <tr r="F348" s="1"/>
      </tp>
      <tp t="s">
        <v>-</v>
        <stp/>
        <stp>T&amp;T0</stp>
        <stp>ACP</stp>
        <stp>300</stp>
        <tr r="B303" s="1"/>
      </tp>
      <tp t="s">
        <v>-</v>
        <stp/>
        <stp>T&amp;T0</stp>
        <stp>AGR</stp>
        <stp>342</stp>
        <tr r="F345" s="1"/>
      </tp>
      <tp t="s">
        <v>-</v>
        <stp/>
        <stp>T&amp;T0</stp>
        <stp>ACP</stp>
        <stp>301</stp>
        <tr r="B304" s="1"/>
      </tp>
      <tp t="s">
        <v>-</v>
        <stp/>
        <stp>T&amp;T0</stp>
        <stp>AGR</stp>
        <stp>343</stp>
        <tr r="F346" s="1"/>
      </tp>
      <tp t="s">
        <v>-</v>
        <stp/>
        <stp>T&amp;T0</stp>
        <stp>ACP</stp>
        <stp>302</stp>
        <tr r="B305" s="1"/>
      </tp>
      <tp t="s">
        <v>-</v>
        <stp/>
        <stp>T&amp;T0</stp>
        <stp>AGR</stp>
        <stp>340</stp>
        <tr r="F343" s="1"/>
      </tp>
      <tp t="s">
        <v>-</v>
        <stp/>
        <stp>T&amp;T0</stp>
        <stp>ACP</stp>
        <stp>303</stp>
        <tr r="B306" s="1"/>
      </tp>
      <tp t="s">
        <v>-</v>
        <stp/>
        <stp>T&amp;T0</stp>
        <stp>AGR</stp>
        <stp>341</stp>
        <tr r="F344" s="1"/>
      </tp>
      <tp t="s">
        <v>-</v>
        <stp/>
        <stp>T&amp;T0</stp>
        <stp>ACP</stp>
        <stp>308</stp>
        <tr r="B311" s="1"/>
      </tp>
      <tp t="s">
        <v>-</v>
        <stp/>
        <stp>T&amp;T0</stp>
        <stp>ACP</stp>
        <stp>309</stp>
        <tr r="B312" s="1"/>
      </tp>
      <tp t="s">
        <v>-</v>
        <stp/>
        <stp>T&amp;T0</stp>
        <stp>AGR</stp>
        <stp>348</stp>
        <tr r="F351" s="1"/>
      </tp>
      <tp t="s">
        <v>-</v>
        <stp/>
        <stp>T&amp;T0</stp>
        <stp>AGR</stp>
        <stp>349</stp>
        <tr r="F352" s="1"/>
      </tp>
      <tp t="s">
        <v>-</v>
        <stp/>
        <stp>T&amp;T0</stp>
        <stp>AVD</stp>
        <stp>380</stp>
        <tr r="E383" s="1"/>
      </tp>
      <tp t="s">
        <v>-</v>
        <stp/>
        <stp>T&amp;T0</stp>
        <stp>AVD</stp>
        <stp>381</stp>
        <tr r="E384" s="1"/>
      </tp>
      <tp t="s">
        <v>-</v>
        <stp/>
        <stp>T&amp;T0</stp>
        <stp>AVD</stp>
        <stp>382</stp>
        <tr r="E385" s="1"/>
      </tp>
      <tp t="s">
        <v>-</v>
        <stp/>
        <stp>T&amp;T0</stp>
        <stp>AVD</stp>
        <stp>383</stp>
        <tr r="E386" s="1"/>
      </tp>
      <tp t="s">
        <v>-</v>
        <stp/>
        <stp>T&amp;T0</stp>
        <stp>AVD</stp>
        <stp>384</stp>
        <tr r="E387" s="1"/>
      </tp>
      <tp t="s">
        <v>-</v>
        <stp/>
        <stp>T&amp;T0</stp>
        <stp>AVD</stp>
        <stp>385</stp>
        <tr r="E388" s="1"/>
      </tp>
      <tp t="s">
        <v>-</v>
        <stp/>
        <stp>T&amp;T0</stp>
        <stp>AVD</stp>
        <stp>386</stp>
        <tr r="E389" s="1"/>
      </tp>
      <tp t="s">
        <v>-</v>
        <stp/>
        <stp>T&amp;T0</stp>
        <stp>AVD</stp>
        <stp>387</stp>
        <tr r="E390" s="1"/>
      </tp>
      <tp t="s">
        <v>-</v>
        <stp/>
        <stp>T&amp;T0</stp>
        <stp>AVD</stp>
        <stp>388</stp>
        <tr r="E391" s="1"/>
      </tp>
      <tp t="s">
        <v>-</v>
        <stp/>
        <stp>T&amp;T0</stp>
        <stp>AVD</stp>
        <stp>389</stp>
        <tr r="E392" s="1"/>
      </tp>
      <tp t="s">
        <v>-</v>
        <stp/>
        <stp>T&amp;T0</stp>
        <stp>AVD</stp>
        <stp>390</stp>
        <tr r="E393" s="1"/>
      </tp>
      <tp t="s">
        <v>-</v>
        <stp/>
        <stp>T&amp;T0</stp>
        <stp>AVD</stp>
        <stp>391</stp>
        <tr r="E394" s="1"/>
      </tp>
      <tp t="s">
        <v>-</v>
        <stp/>
        <stp>T&amp;T0</stp>
        <stp>AVD</stp>
        <stp>392</stp>
        <tr r="E395" s="1"/>
      </tp>
      <tp t="s">
        <v>-</v>
        <stp/>
        <stp>T&amp;T0</stp>
        <stp>AVD</stp>
        <stp>393</stp>
        <tr r="E396" s="1"/>
      </tp>
      <tp t="s">
        <v>-</v>
        <stp/>
        <stp>T&amp;T0</stp>
        <stp>AVD</stp>
        <stp>394</stp>
        <tr r="E397" s="1"/>
      </tp>
      <tp t="s">
        <v>-</v>
        <stp/>
        <stp>T&amp;T0</stp>
        <stp>AVD</stp>
        <stp>395</stp>
        <tr r="E398" s="1"/>
      </tp>
      <tp t="s">
        <v>-</v>
        <stp/>
        <stp>T&amp;T0</stp>
        <stp>AVD</stp>
        <stp>396</stp>
        <tr r="E399" s="1"/>
      </tp>
      <tp t="s">
        <v>-</v>
        <stp/>
        <stp>T&amp;T0</stp>
        <stp>AVD</stp>
        <stp>397</stp>
        <tr r="E400" s="1"/>
      </tp>
      <tp t="s">
        <v>-</v>
        <stp/>
        <stp>T&amp;T0</stp>
        <stp>AVD</stp>
        <stp>398</stp>
        <tr r="E401" s="1"/>
      </tp>
      <tp t="s">
        <v>-</v>
        <stp/>
        <stp>T&amp;T0</stp>
        <stp>AVD</stp>
        <stp>399</stp>
        <tr r="E402" s="1"/>
      </tp>
      <tp t="s">
        <v>-</v>
        <stp/>
        <stp>T&amp;T0</stp>
        <stp>AVD</stp>
        <stp>320</stp>
        <tr r="E323" s="1"/>
      </tp>
      <tp t="s">
        <v>-</v>
        <stp/>
        <stp>T&amp;T0</stp>
        <stp>AVD</stp>
        <stp>321</stp>
        <tr r="E324" s="1"/>
      </tp>
      <tp t="s">
        <v>-</v>
        <stp/>
        <stp>T&amp;T0</stp>
        <stp>AVD</stp>
        <stp>322</stp>
        <tr r="E325" s="1"/>
      </tp>
      <tp t="s">
        <v>-</v>
        <stp/>
        <stp>T&amp;T0</stp>
        <stp>AVD</stp>
        <stp>323</stp>
        <tr r="E326" s="1"/>
      </tp>
      <tp t="s">
        <v>-</v>
        <stp/>
        <stp>T&amp;T0</stp>
        <stp>AVD</stp>
        <stp>324</stp>
        <tr r="E327" s="1"/>
      </tp>
      <tp t="s">
        <v>-</v>
        <stp/>
        <stp>T&amp;T0</stp>
        <stp>AVD</stp>
        <stp>325</stp>
        <tr r="E328" s="1"/>
      </tp>
      <tp t="s">
        <v>-</v>
        <stp/>
        <stp>T&amp;T0</stp>
        <stp>AVD</stp>
        <stp>326</stp>
        <tr r="E329" s="1"/>
      </tp>
      <tp t="s">
        <v>-</v>
        <stp/>
        <stp>T&amp;T0</stp>
        <stp>AVD</stp>
        <stp>327</stp>
        <tr r="E330" s="1"/>
      </tp>
      <tp t="s">
        <v>-</v>
        <stp/>
        <stp>T&amp;T0</stp>
        <stp>AVD</stp>
        <stp>328</stp>
        <tr r="E331" s="1"/>
      </tp>
      <tp t="s">
        <v>-</v>
        <stp/>
        <stp>T&amp;T0</stp>
        <stp>AVD</stp>
        <stp>329</stp>
        <tr r="E332" s="1"/>
      </tp>
      <tp t="s">
        <v>-</v>
        <stp/>
        <stp>T&amp;T0</stp>
        <stp>AVD</stp>
        <stp>330</stp>
        <tr r="E333" s="1"/>
      </tp>
      <tp t="s">
        <v>-</v>
        <stp/>
        <stp>T&amp;T0</stp>
        <stp>AVD</stp>
        <stp>331</stp>
        <tr r="E334" s="1"/>
      </tp>
      <tp t="s">
        <v>-</v>
        <stp/>
        <stp>T&amp;T0</stp>
        <stp>AVD</stp>
        <stp>332</stp>
        <tr r="E335" s="1"/>
      </tp>
      <tp t="s">
        <v>-</v>
        <stp/>
        <stp>T&amp;T0</stp>
        <stp>AVD</stp>
        <stp>333</stp>
        <tr r="E336" s="1"/>
      </tp>
      <tp t="s">
        <v>-</v>
        <stp/>
        <stp>T&amp;T0</stp>
        <stp>AVD</stp>
        <stp>334</stp>
        <tr r="E337" s="1"/>
      </tp>
      <tp t="s">
        <v>-</v>
        <stp/>
        <stp>T&amp;T0</stp>
        <stp>AVD</stp>
        <stp>335</stp>
        <tr r="E338" s="1"/>
      </tp>
      <tp t="s">
        <v>-</v>
        <stp/>
        <stp>T&amp;T0</stp>
        <stp>AVD</stp>
        <stp>336</stp>
        <tr r="E339" s="1"/>
      </tp>
      <tp t="s">
        <v>-</v>
        <stp/>
        <stp>T&amp;T0</stp>
        <stp>AVD</stp>
        <stp>337</stp>
        <tr r="E340" s="1"/>
      </tp>
      <tp t="s">
        <v>-</v>
        <stp/>
        <stp>T&amp;T0</stp>
        <stp>AVD</stp>
        <stp>338</stp>
        <tr r="E341" s="1"/>
      </tp>
      <tp t="s">
        <v>-</v>
        <stp/>
        <stp>T&amp;T0</stp>
        <stp>AVD</stp>
        <stp>339</stp>
        <tr r="E342" s="1"/>
      </tp>
      <tp t="s">
        <v>-</v>
        <stp/>
        <stp>T&amp;T0</stp>
        <stp>AVD</stp>
        <stp>300</stp>
        <tr r="E303" s="1"/>
      </tp>
      <tp t="s">
        <v>-</v>
        <stp/>
        <stp>T&amp;T0</stp>
        <stp>AVD</stp>
        <stp>301</stp>
        <tr r="E304" s="1"/>
      </tp>
      <tp t="s">
        <v>-</v>
        <stp/>
        <stp>T&amp;T0</stp>
        <stp>AVD</stp>
        <stp>302</stp>
        <tr r="E305" s="1"/>
      </tp>
      <tp t="s">
        <v>-</v>
        <stp/>
        <stp>T&amp;T0</stp>
        <stp>AVD</stp>
        <stp>303</stp>
        <tr r="E306" s="1"/>
      </tp>
      <tp t="s">
        <v>-</v>
        <stp/>
        <stp>T&amp;T0</stp>
        <stp>AVD</stp>
        <stp>304</stp>
        <tr r="E307" s="1"/>
      </tp>
      <tp t="s">
        <v>-</v>
        <stp/>
        <stp>T&amp;T0</stp>
        <stp>AVD</stp>
        <stp>305</stp>
        <tr r="E308" s="1"/>
      </tp>
      <tp t="s">
        <v>-</v>
        <stp/>
        <stp>T&amp;T0</stp>
        <stp>AVD</stp>
        <stp>306</stp>
        <tr r="E309" s="1"/>
      </tp>
      <tp t="s">
        <v>-</v>
        <stp/>
        <stp>T&amp;T0</stp>
        <stp>AVD</stp>
        <stp>307</stp>
        <tr r="E310" s="1"/>
      </tp>
      <tp t="s">
        <v>-</v>
        <stp/>
        <stp>T&amp;T0</stp>
        <stp>AVD</stp>
        <stp>308</stp>
        <tr r="E311" s="1"/>
      </tp>
      <tp t="s">
        <v>-</v>
        <stp/>
        <stp>T&amp;T0</stp>
        <stp>AVD</stp>
        <stp>309</stp>
        <tr r="E312" s="1"/>
      </tp>
      <tp t="s">
        <v>-</v>
        <stp/>
        <stp>T&amp;T0</stp>
        <stp>AVD</stp>
        <stp>310</stp>
        <tr r="E313" s="1"/>
      </tp>
      <tp t="s">
        <v>-</v>
        <stp/>
        <stp>T&amp;T0</stp>
        <stp>AVD</stp>
        <stp>311</stp>
        <tr r="E314" s="1"/>
      </tp>
      <tp t="s">
        <v>-</v>
        <stp/>
        <stp>T&amp;T0</stp>
        <stp>AVD</stp>
        <stp>312</stp>
        <tr r="E315" s="1"/>
      </tp>
      <tp t="s">
        <v>-</v>
        <stp/>
        <stp>T&amp;T0</stp>
        <stp>AVD</stp>
        <stp>313</stp>
        <tr r="E316" s="1"/>
      </tp>
      <tp t="s">
        <v>-</v>
        <stp/>
        <stp>T&amp;T0</stp>
        <stp>AVD</stp>
        <stp>314</stp>
        <tr r="E317" s="1"/>
      </tp>
      <tp t="s">
        <v>-</v>
        <stp/>
        <stp>T&amp;T0</stp>
        <stp>AVD</stp>
        <stp>315</stp>
        <tr r="E318" s="1"/>
      </tp>
      <tp t="s">
        <v>-</v>
        <stp/>
        <stp>T&amp;T0</stp>
        <stp>AVD</stp>
        <stp>316</stp>
        <tr r="E319" s="1"/>
      </tp>
      <tp t="s">
        <v>-</v>
        <stp/>
        <stp>T&amp;T0</stp>
        <stp>AVD</stp>
        <stp>317</stp>
        <tr r="E320" s="1"/>
      </tp>
      <tp t="s">
        <v>-</v>
        <stp/>
        <stp>T&amp;T0</stp>
        <stp>AVD</stp>
        <stp>318</stp>
        <tr r="E321" s="1"/>
      </tp>
      <tp t="s">
        <v>-</v>
        <stp/>
        <stp>T&amp;T0</stp>
        <stp>AVD</stp>
        <stp>319</stp>
        <tr r="E322" s="1"/>
      </tp>
      <tp t="s">
        <v>-</v>
        <stp/>
        <stp>T&amp;T0</stp>
        <stp>AVD</stp>
        <stp>360</stp>
        <tr r="E363" s="1"/>
      </tp>
      <tp t="s">
        <v>-</v>
        <stp/>
        <stp>T&amp;T0</stp>
        <stp>AVD</stp>
        <stp>361</stp>
        <tr r="E364" s="1"/>
      </tp>
      <tp t="s">
        <v>-</v>
        <stp/>
        <stp>T&amp;T0</stp>
        <stp>AVD</stp>
        <stp>362</stp>
        <tr r="E365" s="1"/>
      </tp>
      <tp t="s">
        <v>-</v>
        <stp/>
        <stp>T&amp;T0</stp>
        <stp>AVD</stp>
        <stp>363</stp>
        <tr r="E366" s="1"/>
      </tp>
      <tp t="s">
        <v>-</v>
        <stp/>
        <stp>T&amp;T0</stp>
        <stp>AVD</stp>
        <stp>364</stp>
        <tr r="E367" s="1"/>
      </tp>
      <tp t="s">
        <v>-</v>
        <stp/>
        <stp>T&amp;T0</stp>
        <stp>AVD</stp>
        <stp>365</stp>
        <tr r="E368" s="1"/>
      </tp>
      <tp t="s">
        <v>-</v>
        <stp/>
        <stp>T&amp;T0</stp>
        <stp>AVD</stp>
        <stp>366</stp>
        <tr r="E369" s="1"/>
      </tp>
      <tp t="s">
        <v>-</v>
        <stp/>
        <stp>T&amp;T0</stp>
        <stp>AVD</stp>
        <stp>367</stp>
        <tr r="E370" s="1"/>
      </tp>
      <tp t="s">
        <v>-</v>
        <stp/>
        <stp>T&amp;T0</stp>
        <stp>AVD</stp>
        <stp>368</stp>
        <tr r="E371" s="1"/>
      </tp>
      <tp t="s">
        <v>-</v>
        <stp/>
        <stp>T&amp;T0</stp>
        <stp>AVD</stp>
        <stp>369</stp>
        <tr r="E372" s="1"/>
      </tp>
      <tp t="s">
        <v>-</v>
        <stp/>
        <stp>T&amp;T0</stp>
        <stp>AVD</stp>
        <stp>370</stp>
        <tr r="E373" s="1"/>
      </tp>
      <tp t="s">
        <v>-</v>
        <stp/>
        <stp>T&amp;T0</stp>
        <stp>AVD</stp>
        <stp>371</stp>
        <tr r="E374" s="1"/>
      </tp>
      <tp t="s">
        <v>-</v>
        <stp/>
        <stp>T&amp;T0</stp>
        <stp>AVD</stp>
        <stp>372</stp>
        <tr r="E375" s="1"/>
      </tp>
      <tp t="s">
        <v>-</v>
        <stp/>
        <stp>T&amp;T0</stp>
        <stp>AVD</stp>
        <stp>373</stp>
        <tr r="E376" s="1"/>
      </tp>
      <tp t="s">
        <v>-</v>
        <stp/>
        <stp>T&amp;T0</stp>
        <stp>AVD</stp>
        <stp>374</stp>
        <tr r="E377" s="1"/>
      </tp>
      <tp t="s">
        <v>-</v>
        <stp/>
        <stp>T&amp;T0</stp>
        <stp>AVD</stp>
        <stp>375</stp>
        <tr r="E378" s="1"/>
      </tp>
      <tp t="s">
        <v>-</v>
        <stp/>
        <stp>T&amp;T0</stp>
        <stp>AVD</stp>
        <stp>376</stp>
        <tr r="E379" s="1"/>
      </tp>
      <tp t="s">
        <v>-</v>
        <stp/>
        <stp>T&amp;T0</stp>
        <stp>AVD</stp>
        <stp>377</stp>
        <tr r="E380" s="1"/>
      </tp>
      <tp t="s">
        <v>-</v>
        <stp/>
        <stp>T&amp;T0</stp>
        <stp>AVD</stp>
        <stp>378</stp>
        <tr r="E381" s="1"/>
      </tp>
      <tp t="s">
        <v>-</v>
        <stp/>
        <stp>T&amp;T0</stp>
        <stp>AVD</stp>
        <stp>379</stp>
        <tr r="E382" s="1"/>
      </tp>
      <tp t="s">
        <v>-</v>
        <stp/>
        <stp>T&amp;T0</stp>
        <stp>AVD</stp>
        <stp>340</stp>
        <tr r="E343" s="1"/>
      </tp>
      <tp t="s">
        <v>-</v>
        <stp/>
        <stp>T&amp;T0</stp>
        <stp>AVD</stp>
        <stp>341</stp>
        <tr r="E344" s="1"/>
      </tp>
      <tp t="s">
        <v>-</v>
        <stp/>
        <stp>T&amp;T0</stp>
        <stp>AVD</stp>
        <stp>342</stp>
        <tr r="E345" s="1"/>
      </tp>
      <tp t="s">
        <v>-</v>
        <stp/>
        <stp>T&amp;T0</stp>
        <stp>AVD</stp>
        <stp>343</stp>
        <tr r="E346" s="1"/>
      </tp>
      <tp t="s">
        <v>-</v>
        <stp/>
        <stp>T&amp;T0</stp>
        <stp>AVD</stp>
        <stp>344</stp>
        <tr r="E347" s="1"/>
      </tp>
      <tp t="s">
        <v>-</v>
        <stp/>
        <stp>T&amp;T0</stp>
        <stp>AVD</stp>
        <stp>345</stp>
        <tr r="E348" s="1"/>
      </tp>
      <tp t="s">
        <v>-</v>
        <stp/>
        <stp>T&amp;T0</stp>
        <stp>AVD</stp>
        <stp>346</stp>
        <tr r="E349" s="1"/>
      </tp>
      <tp t="s">
        <v>-</v>
        <stp/>
        <stp>T&amp;T0</stp>
        <stp>AVD</stp>
        <stp>347</stp>
        <tr r="E350" s="1"/>
      </tp>
      <tp t="s">
        <v>-</v>
        <stp/>
        <stp>T&amp;T0</stp>
        <stp>AVD</stp>
        <stp>348</stp>
        <tr r="E351" s="1"/>
      </tp>
      <tp t="s">
        <v>-</v>
        <stp/>
        <stp>T&amp;T0</stp>
        <stp>AVD</stp>
        <stp>349</stp>
        <tr r="E352" s="1"/>
      </tp>
      <tp t="s">
        <v>-</v>
        <stp/>
        <stp>T&amp;T0</stp>
        <stp>AVD</stp>
        <stp>350</stp>
        <tr r="E353" s="1"/>
      </tp>
      <tp t="s">
        <v>-</v>
        <stp/>
        <stp>T&amp;T0</stp>
        <stp>AVD</stp>
        <stp>351</stp>
        <tr r="E354" s="1"/>
      </tp>
      <tp t="s">
        <v>-</v>
        <stp/>
        <stp>T&amp;T0</stp>
        <stp>AVD</stp>
        <stp>352</stp>
        <tr r="E355" s="1"/>
      </tp>
      <tp t="s">
        <v>-</v>
        <stp/>
        <stp>T&amp;T0</stp>
        <stp>AVD</stp>
        <stp>353</stp>
        <tr r="E356" s="1"/>
      </tp>
      <tp t="s">
        <v>-</v>
        <stp/>
        <stp>T&amp;T0</stp>
        <stp>AVD</stp>
        <stp>354</stp>
        <tr r="E357" s="1"/>
      </tp>
      <tp t="s">
        <v>-</v>
        <stp/>
        <stp>T&amp;T0</stp>
        <stp>AVD</stp>
        <stp>355</stp>
        <tr r="E358" s="1"/>
      </tp>
      <tp t="s">
        <v>-</v>
        <stp/>
        <stp>T&amp;T0</stp>
        <stp>AVD</stp>
        <stp>356</stp>
        <tr r="E359" s="1"/>
      </tp>
      <tp t="s">
        <v>-</v>
        <stp/>
        <stp>T&amp;T0</stp>
        <stp>AVD</stp>
        <stp>357</stp>
        <tr r="E360" s="1"/>
      </tp>
      <tp t="s">
        <v>-</v>
        <stp/>
        <stp>T&amp;T0</stp>
        <stp>AVD</stp>
        <stp>358</stp>
        <tr r="E361" s="1"/>
      </tp>
      <tp t="s">
        <v>-</v>
        <stp/>
        <stp>T&amp;T0</stp>
        <stp>AVD</stp>
        <stp>359</stp>
        <tr r="E362" s="1"/>
      </tp>
      <tp t="s">
        <v>-</v>
        <stp/>
        <stp>T&amp;T0</stp>
        <stp>AGR</stp>
        <stp>296</stp>
        <tr r="F299" s="1"/>
      </tp>
      <tp t="s">
        <v>-</v>
        <stp/>
        <stp>T&amp;T0</stp>
        <stp>AGR</stp>
        <stp>297</stp>
        <tr r="F300" s="1"/>
      </tp>
      <tp t="s">
        <v>-</v>
        <stp/>
        <stp>T&amp;T0</stp>
        <stp>AGR</stp>
        <stp>294</stp>
        <tr r="F297" s="1"/>
      </tp>
      <tp t="s">
        <v>-</v>
        <stp/>
        <stp>T&amp;T0</stp>
        <stp>AGR</stp>
        <stp>295</stp>
        <tr r="F298" s="1"/>
      </tp>
      <tp t="s">
        <v>-</v>
        <stp/>
        <stp>T&amp;T0</stp>
        <stp>AGR</stp>
        <stp>292</stp>
        <tr r="F295" s="1"/>
      </tp>
      <tp t="s">
        <v>-</v>
        <stp/>
        <stp>T&amp;T0</stp>
        <stp>AGR</stp>
        <stp>293</stp>
        <tr r="F296" s="1"/>
      </tp>
      <tp t="s">
        <v>-</v>
        <stp/>
        <stp>T&amp;T0</stp>
        <stp>AGR</stp>
        <stp>290</stp>
        <tr r="F293" s="1"/>
      </tp>
      <tp t="s">
        <v>-</v>
        <stp/>
        <stp>T&amp;T0</stp>
        <stp>AGR</stp>
        <stp>291</stp>
        <tr r="F294" s="1"/>
      </tp>
      <tp t="s">
        <v>-</v>
        <stp/>
        <stp>T&amp;T0</stp>
        <stp>AGR</stp>
        <stp>298</stp>
        <tr r="F301" s="1"/>
      </tp>
      <tp t="s">
        <v>-</v>
        <stp/>
        <stp>T&amp;T0</stp>
        <stp>AGR</stp>
        <stp>299</stp>
        <tr r="F302" s="1"/>
      </tp>
      <tp t="s">
        <v>-</v>
        <stp/>
        <stp>T&amp;T0</stp>
        <stp>AGR</stp>
        <stp>286</stp>
        <tr r="F289" s="1"/>
      </tp>
      <tp t="s">
        <v>-</v>
        <stp/>
        <stp>T&amp;T0</stp>
        <stp>AGR</stp>
        <stp>287</stp>
        <tr r="F290" s="1"/>
      </tp>
      <tp t="s">
        <v>-</v>
        <stp/>
        <stp>T&amp;T0</stp>
        <stp>AGR</stp>
        <stp>284</stp>
        <tr r="F287" s="1"/>
      </tp>
      <tp t="s">
        <v>-</v>
        <stp/>
        <stp>T&amp;T0</stp>
        <stp>AGR</stp>
        <stp>285</stp>
        <tr r="F288" s="1"/>
      </tp>
      <tp t="s">
        <v>-</v>
        <stp/>
        <stp>T&amp;T0</stp>
        <stp>AGR</stp>
        <stp>282</stp>
        <tr r="F285" s="1"/>
      </tp>
      <tp t="s">
        <v>-</v>
        <stp/>
        <stp>T&amp;T0</stp>
        <stp>AGR</stp>
        <stp>283</stp>
        <tr r="F286" s="1"/>
      </tp>
      <tp t="s">
        <v>-</v>
        <stp/>
        <stp>T&amp;T0</stp>
        <stp>AGR</stp>
        <stp>280</stp>
        <tr r="F283" s="1"/>
      </tp>
      <tp t="s">
        <v>-</v>
        <stp/>
        <stp>T&amp;T0</stp>
        <stp>AGR</stp>
        <stp>281</stp>
        <tr r="F284" s="1"/>
      </tp>
      <tp t="s">
        <v>-</v>
        <stp/>
        <stp>T&amp;T0</stp>
        <stp>AGR</stp>
        <stp>288</stp>
        <tr r="F291" s="1"/>
      </tp>
      <tp t="s">
        <v>-</v>
        <stp/>
        <stp>T&amp;T0</stp>
        <stp>AGR</stp>
        <stp>289</stp>
        <tr r="F292" s="1"/>
      </tp>
      <tp t="s">
        <v>-</v>
        <stp/>
        <stp>T&amp;T0</stp>
        <stp>ACP</stp>
        <stp>294</stp>
        <tr r="B297" s="1"/>
      </tp>
      <tp t="s">
        <v>-</v>
        <stp/>
        <stp>T&amp;T0</stp>
        <stp>ACP</stp>
        <stp>295</stp>
        <tr r="B298" s="1"/>
      </tp>
      <tp t="s">
        <v>-</v>
        <stp/>
        <stp>T&amp;T0</stp>
        <stp>ACP</stp>
        <stp>296</stp>
        <tr r="B299" s="1"/>
      </tp>
      <tp t="s">
        <v>-</v>
        <stp/>
        <stp>T&amp;T0</stp>
        <stp>ACP</stp>
        <stp>297</stp>
        <tr r="B300" s="1"/>
      </tp>
      <tp t="s">
        <v>-</v>
        <stp/>
        <stp>T&amp;T0</stp>
        <stp>ACP</stp>
        <stp>290</stp>
        <tr r="B293" s="1"/>
      </tp>
      <tp t="s">
        <v>-</v>
        <stp/>
        <stp>T&amp;T0</stp>
        <stp>ACP</stp>
        <stp>291</stp>
        <tr r="B294" s="1"/>
      </tp>
      <tp t="s">
        <v>-</v>
        <stp/>
        <stp>T&amp;T0</stp>
        <stp>ACP</stp>
        <stp>292</stp>
        <tr r="B295" s="1"/>
      </tp>
      <tp t="s">
        <v>-</v>
        <stp/>
        <stp>T&amp;T0</stp>
        <stp>ACP</stp>
        <stp>293</stp>
        <tr r="B296" s="1"/>
      </tp>
      <tp t="s">
        <v>-</v>
        <stp/>
        <stp>T&amp;T0</stp>
        <stp>ACP</stp>
        <stp>298</stp>
        <tr r="B301" s="1"/>
      </tp>
      <tp t="s">
        <v>-</v>
        <stp/>
        <stp>T&amp;T0</stp>
        <stp>ACP</stp>
        <stp>299</stp>
        <tr r="B302" s="1"/>
      </tp>
      <tp t="s">
        <v>-</v>
        <stp/>
        <stp>T&amp;T0</stp>
        <stp>ACP</stp>
        <stp>284</stp>
        <tr r="B287" s="1"/>
      </tp>
      <tp t="s">
        <v>-</v>
        <stp/>
        <stp>T&amp;T0</stp>
        <stp>ACP</stp>
        <stp>285</stp>
        <tr r="B288" s="1"/>
      </tp>
      <tp t="s">
        <v>-</v>
        <stp/>
        <stp>T&amp;T0</stp>
        <stp>ACP</stp>
        <stp>286</stp>
        <tr r="B289" s="1"/>
      </tp>
      <tp t="s">
        <v>-</v>
        <stp/>
        <stp>T&amp;T0</stp>
        <stp>ACP</stp>
        <stp>287</stp>
        <tr r="B290" s="1"/>
      </tp>
      <tp t="s">
        <v>-</v>
        <stp/>
        <stp>T&amp;T0</stp>
        <stp>ACP</stp>
        <stp>280</stp>
        <tr r="B283" s="1"/>
      </tp>
      <tp t="s">
        <v>-</v>
        <stp/>
        <stp>T&amp;T0</stp>
        <stp>ACP</stp>
        <stp>281</stp>
        <tr r="B284" s="1"/>
      </tp>
      <tp t="s">
        <v>-</v>
        <stp/>
        <stp>T&amp;T0</stp>
        <stp>ACP</stp>
        <stp>282</stp>
        <tr r="B285" s="1"/>
      </tp>
      <tp t="s">
        <v>-</v>
        <stp/>
        <stp>T&amp;T0</stp>
        <stp>ACP</stp>
        <stp>283</stp>
        <tr r="B286" s="1"/>
      </tp>
      <tp t="s">
        <v>-</v>
        <stp/>
        <stp>T&amp;T0</stp>
        <stp>ACP</stp>
        <stp>288</stp>
        <tr r="B291" s="1"/>
      </tp>
      <tp t="s">
        <v>-</v>
        <stp/>
        <stp>T&amp;T0</stp>
        <stp>ACP</stp>
        <stp>289</stp>
        <tr r="B292" s="1"/>
      </tp>
      <tp t="s">
        <v>-</v>
        <stp/>
        <stp>T&amp;T0</stp>
        <stp>ACP</stp>
        <stp>274</stp>
        <tr r="B277" s="1"/>
      </tp>
      <tp t="s">
        <v>-</v>
        <stp/>
        <stp>T&amp;T0</stp>
        <stp>AGR</stp>
        <stp>236</stp>
        <tr r="F239" s="1"/>
      </tp>
      <tp t="s">
        <v>-</v>
        <stp/>
        <stp>T&amp;T0</stp>
        <stp>ACP</stp>
        <stp>275</stp>
        <tr r="B278" s="1"/>
      </tp>
      <tp t="s">
        <v>-</v>
        <stp/>
        <stp>T&amp;T0</stp>
        <stp>AGR</stp>
        <stp>237</stp>
        <tr r="F240" s="1"/>
      </tp>
      <tp t="s">
        <v>-</v>
        <stp/>
        <stp>T&amp;T0</stp>
        <stp>ACP</stp>
        <stp>276</stp>
        <tr r="B279" s="1"/>
      </tp>
      <tp t="s">
        <v>-</v>
        <stp/>
        <stp>T&amp;T0</stp>
        <stp>AGR</stp>
        <stp>234</stp>
        <tr r="F237" s="1"/>
      </tp>
      <tp t="s">
        <v>-</v>
        <stp/>
        <stp>T&amp;T0</stp>
        <stp>ACP</stp>
        <stp>277</stp>
        <tr r="B280" s="1"/>
      </tp>
      <tp t="s">
        <v>-</v>
        <stp/>
        <stp>T&amp;T0</stp>
        <stp>AGR</stp>
        <stp>235</stp>
        <tr r="F238" s="1"/>
      </tp>
      <tp t="s">
        <v>-</v>
        <stp/>
        <stp>T&amp;T0</stp>
        <stp>ACP</stp>
        <stp>270</stp>
        <tr r="B273" s="1"/>
      </tp>
      <tp t="s">
        <v>-</v>
        <stp/>
        <stp>T&amp;T0</stp>
        <stp>AGR</stp>
        <stp>232</stp>
        <tr r="F235" s="1"/>
      </tp>
      <tp t="s">
        <v>-</v>
        <stp/>
        <stp>T&amp;T0</stp>
        <stp>ACP</stp>
        <stp>271</stp>
        <tr r="B274" s="1"/>
      </tp>
      <tp t="s">
        <v>-</v>
        <stp/>
        <stp>T&amp;T0</stp>
        <stp>AGR</stp>
        <stp>233</stp>
        <tr r="F236" s="1"/>
      </tp>
      <tp t="s">
        <v>-</v>
        <stp/>
        <stp>T&amp;T0</stp>
        <stp>ACP</stp>
        <stp>272</stp>
        <tr r="B275" s="1"/>
      </tp>
      <tp t="s">
        <v>-</v>
        <stp/>
        <stp>T&amp;T0</stp>
        <stp>AGR</stp>
        <stp>230</stp>
        <tr r="F233" s="1"/>
      </tp>
      <tp t="s">
        <v>-</v>
        <stp/>
        <stp>T&amp;T0</stp>
        <stp>ACP</stp>
        <stp>273</stp>
        <tr r="B276" s="1"/>
      </tp>
      <tp t="s">
        <v>-</v>
        <stp/>
        <stp>T&amp;T0</stp>
        <stp>AGR</stp>
        <stp>231</stp>
        <tr r="F234" s="1"/>
      </tp>
      <tp t="s">
        <v>-</v>
        <stp/>
        <stp>T&amp;T0</stp>
        <stp>ACP</stp>
        <stp>278</stp>
        <tr r="B281" s="1"/>
      </tp>
      <tp t="s">
        <v>-</v>
        <stp/>
        <stp>T&amp;T0</stp>
        <stp>ACP</stp>
        <stp>279</stp>
        <tr r="B282" s="1"/>
      </tp>
      <tp t="s">
        <v>-</v>
        <stp/>
        <stp>T&amp;T0</stp>
        <stp>AGR</stp>
        <stp>238</stp>
        <tr r="F241" s="1"/>
      </tp>
      <tp t="s">
        <v>-</v>
        <stp/>
        <stp>T&amp;T0</stp>
        <stp>AGR</stp>
        <stp>239</stp>
        <tr r="F242" s="1"/>
      </tp>
      <tp t="s">
        <v>-</v>
        <stp/>
        <stp>T&amp;T0</stp>
        <stp>ACP</stp>
        <stp>264</stp>
        <tr r="B267" s="1"/>
      </tp>
      <tp t="s">
        <v>-</v>
        <stp/>
        <stp>T&amp;T0</stp>
        <stp>AGR</stp>
        <stp>226</stp>
        <tr r="F229" s="1"/>
      </tp>
      <tp t="s">
        <v>-</v>
        <stp/>
        <stp>T&amp;T0</stp>
        <stp>ACP</stp>
        <stp>265</stp>
        <tr r="B268" s="1"/>
      </tp>
      <tp t="s">
        <v>-</v>
        <stp/>
        <stp>T&amp;T0</stp>
        <stp>AGR</stp>
        <stp>227</stp>
        <tr r="F230" s="1"/>
      </tp>
      <tp t="s">
        <v>-</v>
        <stp/>
        <stp>T&amp;T0</stp>
        <stp>ACP</stp>
        <stp>266</stp>
        <tr r="B269" s="1"/>
      </tp>
      <tp t="s">
        <v>-</v>
        <stp/>
        <stp>T&amp;T0</stp>
        <stp>AGR</stp>
        <stp>224</stp>
        <tr r="F227" s="1"/>
      </tp>
      <tp t="s">
        <v>-</v>
        <stp/>
        <stp>T&amp;T0</stp>
        <stp>ACP</stp>
        <stp>267</stp>
        <tr r="B270" s="1"/>
      </tp>
      <tp t="s">
        <v>-</v>
        <stp/>
        <stp>T&amp;T0</stp>
        <stp>AGR</stp>
        <stp>225</stp>
        <tr r="F228" s="1"/>
      </tp>
      <tp t="s">
        <v>-</v>
        <stp/>
        <stp>T&amp;T0</stp>
        <stp>ACP</stp>
        <stp>260</stp>
        <tr r="B263" s="1"/>
      </tp>
      <tp t="s">
        <v>-</v>
        <stp/>
        <stp>T&amp;T0</stp>
        <stp>AGR</stp>
        <stp>222</stp>
        <tr r="F225" s="1"/>
      </tp>
      <tp t="s">
        <v>-</v>
        <stp/>
        <stp>T&amp;T0</stp>
        <stp>ACP</stp>
        <stp>261</stp>
        <tr r="B264" s="1"/>
      </tp>
      <tp t="s">
        <v>-</v>
        <stp/>
        <stp>T&amp;T0</stp>
        <stp>AGR</stp>
        <stp>223</stp>
        <tr r="F226" s="1"/>
      </tp>
      <tp t="s">
        <v>-</v>
        <stp/>
        <stp>T&amp;T0</stp>
        <stp>ACP</stp>
        <stp>262</stp>
        <tr r="B265" s="1"/>
      </tp>
      <tp t="s">
        <v>-</v>
        <stp/>
        <stp>T&amp;T0</stp>
        <stp>AGR</stp>
        <stp>220</stp>
        <tr r="F223" s="1"/>
      </tp>
      <tp t="s">
        <v>-</v>
        <stp/>
        <stp>T&amp;T0</stp>
        <stp>ACP</stp>
        <stp>263</stp>
        <tr r="B266" s="1"/>
      </tp>
      <tp t="s">
        <v>-</v>
        <stp/>
        <stp>T&amp;T0</stp>
        <stp>AGR</stp>
        <stp>221</stp>
        <tr r="F224" s="1"/>
      </tp>
      <tp t="s">
        <v>-</v>
        <stp/>
        <stp>T&amp;T0</stp>
        <stp>ACP</stp>
        <stp>268</stp>
        <tr r="B271" s="1"/>
      </tp>
      <tp t="s">
        <v>-</v>
        <stp/>
        <stp>T&amp;T0</stp>
        <stp>ACP</stp>
        <stp>269</stp>
        <tr r="B272" s="1"/>
      </tp>
      <tp t="s">
        <v>-</v>
        <stp/>
        <stp>T&amp;T0</stp>
        <stp>AGR</stp>
        <stp>228</stp>
        <tr r="F231" s="1"/>
      </tp>
      <tp t="s">
        <v>-</v>
        <stp/>
        <stp>T&amp;T0</stp>
        <stp>AGR</stp>
        <stp>229</stp>
        <tr r="F232" s="1"/>
      </tp>
      <tp t="s">
        <v>-</v>
        <stp/>
        <stp>T&amp;T0</stp>
        <stp>ACP</stp>
        <stp>254</stp>
        <tr r="B257" s="1"/>
      </tp>
      <tp t="s">
        <v>-</v>
        <stp/>
        <stp>T&amp;T0</stp>
        <stp>AGR</stp>
        <stp>216</stp>
        <tr r="F219" s="1"/>
      </tp>
      <tp t="s">
        <v>-</v>
        <stp/>
        <stp>T&amp;T0</stp>
        <stp>ACP</stp>
        <stp>255</stp>
        <tr r="B258" s="1"/>
      </tp>
      <tp t="s">
        <v>-</v>
        <stp/>
        <stp>T&amp;T0</stp>
        <stp>AGR</stp>
        <stp>217</stp>
        <tr r="F220" s="1"/>
      </tp>
      <tp t="s">
        <v>-</v>
        <stp/>
        <stp>T&amp;T0</stp>
        <stp>ACP</stp>
        <stp>256</stp>
        <tr r="B259" s="1"/>
      </tp>
      <tp t="s">
        <v>-</v>
        <stp/>
        <stp>T&amp;T0</stp>
        <stp>AGR</stp>
        <stp>214</stp>
        <tr r="F217" s="1"/>
      </tp>
      <tp t="s">
        <v>-</v>
        <stp/>
        <stp>T&amp;T0</stp>
        <stp>ACP</stp>
        <stp>257</stp>
        <tr r="B260" s="1"/>
      </tp>
      <tp t="s">
        <v>-</v>
        <stp/>
        <stp>T&amp;T0</stp>
        <stp>AGR</stp>
        <stp>215</stp>
        <tr r="F218" s="1"/>
      </tp>
      <tp t="s">
        <v>-</v>
        <stp/>
        <stp>T&amp;T0</stp>
        <stp>ACP</stp>
        <stp>250</stp>
        <tr r="B253" s="1"/>
      </tp>
      <tp t="s">
        <v>-</v>
        <stp/>
        <stp>T&amp;T0</stp>
        <stp>AGR</stp>
        <stp>212</stp>
        <tr r="F215" s="1"/>
      </tp>
      <tp t="s">
        <v>-</v>
        <stp/>
        <stp>T&amp;T0</stp>
        <stp>ACP</stp>
        <stp>251</stp>
        <tr r="B254" s="1"/>
      </tp>
      <tp t="s">
        <v>-</v>
        <stp/>
        <stp>T&amp;T0</stp>
        <stp>AGR</stp>
        <stp>213</stp>
        <tr r="F216" s="1"/>
      </tp>
      <tp t="s">
        <v>-</v>
        <stp/>
        <stp>T&amp;T0</stp>
        <stp>ACP</stp>
        <stp>252</stp>
        <tr r="B255" s="1"/>
      </tp>
      <tp t="s">
        <v>-</v>
        <stp/>
        <stp>T&amp;T0</stp>
        <stp>AGR</stp>
        <stp>210</stp>
        <tr r="F213" s="1"/>
      </tp>
      <tp t="s">
        <v>-</v>
        <stp/>
        <stp>T&amp;T0</stp>
        <stp>ACP</stp>
        <stp>253</stp>
        <tr r="B256" s="1"/>
      </tp>
      <tp t="s">
        <v>-</v>
        <stp/>
        <stp>T&amp;T0</stp>
        <stp>AGR</stp>
        <stp>211</stp>
        <tr r="F214" s="1"/>
      </tp>
      <tp t="s">
        <v>-</v>
        <stp/>
        <stp>T&amp;T0</stp>
        <stp>ACP</stp>
        <stp>258</stp>
        <tr r="B261" s="1"/>
      </tp>
      <tp t="s">
        <v>-</v>
        <stp/>
        <stp>T&amp;T0</stp>
        <stp>ACP</stp>
        <stp>259</stp>
        <tr r="B262" s="1"/>
      </tp>
      <tp t="s">
        <v>-</v>
        <stp/>
        <stp>T&amp;T0</stp>
        <stp>AGR</stp>
        <stp>218</stp>
        <tr r="F221" s="1"/>
      </tp>
      <tp t="s">
        <v>-</v>
        <stp/>
        <stp>T&amp;T0</stp>
        <stp>AGR</stp>
        <stp>219</stp>
        <tr r="F222" s="1"/>
      </tp>
      <tp t="s">
        <v>-</v>
        <stp/>
        <stp>T&amp;T0</stp>
        <stp>ACP</stp>
        <stp>244</stp>
        <tr r="B247" s="1"/>
      </tp>
      <tp t="s">
        <v>-</v>
        <stp/>
        <stp>T&amp;T0</stp>
        <stp>AGR</stp>
        <stp>206</stp>
        <tr r="F209" s="1"/>
      </tp>
      <tp t="s">
        <v>-</v>
        <stp/>
        <stp>T&amp;T0</stp>
        <stp>ACP</stp>
        <stp>245</stp>
        <tr r="B248" s="1"/>
      </tp>
      <tp t="s">
        <v>-</v>
        <stp/>
        <stp>T&amp;T0</stp>
        <stp>AGR</stp>
        <stp>207</stp>
        <tr r="F210" s="1"/>
      </tp>
      <tp t="s">
        <v>-</v>
        <stp/>
        <stp>T&amp;T0</stp>
        <stp>ACP</stp>
        <stp>246</stp>
        <tr r="B249" s="1"/>
      </tp>
      <tp t="s">
        <v>-</v>
        <stp/>
        <stp>T&amp;T0</stp>
        <stp>AGR</stp>
        <stp>204</stp>
        <tr r="F207" s="1"/>
      </tp>
      <tp t="s">
        <v>-</v>
        <stp/>
        <stp>T&amp;T0</stp>
        <stp>ACP</stp>
        <stp>247</stp>
        <tr r="B250" s="1"/>
      </tp>
      <tp t="s">
        <v>-</v>
        <stp/>
        <stp>T&amp;T0</stp>
        <stp>AGR</stp>
        <stp>205</stp>
        <tr r="F208" s="1"/>
      </tp>
      <tp t="s">
        <v>-</v>
        <stp/>
        <stp>T&amp;T0</stp>
        <stp>ACP</stp>
        <stp>240</stp>
        <tr r="B243" s="1"/>
      </tp>
      <tp t="s">
        <v>-</v>
        <stp/>
        <stp>T&amp;T0</stp>
        <stp>AGR</stp>
        <stp>202</stp>
        <tr r="F205" s="1"/>
      </tp>
      <tp t="s">
        <v>-</v>
        <stp/>
        <stp>T&amp;T0</stp>
        <stp>ACP</stp>
        <stp>241</stp>
        <tr r="B244" s="1"/>
      </tp>
      <tp t="s">
        <v>-</v>
        <stp/>
        <stp>T&amp;T0</stp>
        <stp>AGR</stp>
        <stp>203</stp>
        <tr r="F206" s="1"/>
      </tp>
      <tp t="s">
        <v>-</v>
        <stp/>
        <stp>T&amp;T0</stp>
        <stp>ACP</stp>
        <stp>242</stp>
        <tr r="B245" s="1"/>
      </tp>
      <tp t="s">
        <v>-</v>
        <stp/>
        <stp>T&amp;T0</stp>
        <stp>AGR</stp>
        <stp>200</stp>
        <tr r="F203" s="1"/>
      </tp>
      <tp t="s">
        <v>-</v>
        <stp/>
        <stp>T&amp;T0</stp>
        <stp>ACP</stp>
        <stp>243</stp>
        <tr r="B246" s="1"/>
      </tp>
      <tp t="s">
        <v>-</v>
        <stp/>
        <stp>T&amp;T0</stp>
        <stp>AGR</stp>
        <stp>201</stp>
        <tr r="F204" s="1"/>
      </tp>
      <tp t="s">
        <v>-</v>
        <stp/>
        <stp>T&amp;T0</stp>
        <stp>ACP</stp>
        <stp>248</stp>
        <tr r="B251" s="1"/>
      </tp>
      <tp t="s">
        <v>-</v>
        <stp/>
        <stp>T&amp;T0</stp>
        <stp>ACP</stp>
        <stp>249</stp>
        <tr r="B252" s="1"/>
      </tp>
      <tp t="s">
        <v>-</v>
        <stp/>
        <stp>T&amp;T0</stp>
        <stp>AGR</stp>
        <stp>208</stp>
        <tr r="F211" s="1"/>
      </tp>
      <tp t="s">
        <v>-</v>
        <stp/>
        <stp>T&amp;T0</stp>
        <stp>AGR</stp>
        <stp>209</stp>
        <tr r="F212" s="1"/>
      </tp>
      <tp t="s">
        <v>-</v>
        <stp/>
        <stp>T&amp;T0</stp>
        <stp>ACP</stp>
        <stp>234</stp>
        <tr r="B237" s="1"/>
      </tp>
      <tp t="s">
        <v>-</v>
        <stp/>
        <stp>T&amp;T0</stp>
        <stp>AGR</stp>
        <stp>276</stp>
        <tr r="F279" s="1"/>
      </tp>
      <tp t="s">
        <v>-</v>
        <stp/>
        <stp>T&amp;T0</stp>
        <stp>ACP</stp>
        <stp>235</stp>
        <tr r="B238" s="1"/>
      </tp>
      <tp t="s">
        <v>-</v>
        <stp/>
        <stp>T&amp;T0</stp>
        <stp>AGR</stp>
        <stp>277</stp>
        <tr r="F280" s="1"/>
      </tp>
      <tp t="s">
        <v>-</v>
        <stp/>
        <stp>T&amp;T0</stp>
        <stp>ACP</stp>
        <stp>236</stp>
        <tr r="B239" s="1"/>
      </tp>
      <tp t="s">
        <v>-</v>
        <stp/>
        <stp>T&amp;T0</stp>
        <stp>AGR</stp>
        <stp>274</stp>
        <tr r="F277" s="1"/>
      </tp>
      <tp t="s">
        <v>-</v>
        <stp/>
        <stp>T&amp;T0</stp>
        <stp>ACP</stp>
        <stp>237</stp>
        <tr r="B240" s="1"/>
      </tp>
      <tp t="s">
        <v>-</v>
        <stp/>
        <stp>T&amp;T0</stp>
        <stp>AGR</stp>
        <stp>275</stp>
        <tr r="F278" s="1"/>
      </tp>
      <tp t="s">
        <v>-</v>
        <stp/>
        <stp>T&amp;T0</stp>
        <stp>ACP</stp>
        <stp>230</stp>
        <tr r="B233" s="1"/>
      </tp>
      <tp t="s">
        <v>-</v>
        <stp/>
        <stp>T&amp;T0</stp>
        <stp>AGR</stp>
        <stp>272</stp>
        <tr r="F275" s="1"/>
      </tp>
      <tp t="s">
        <v>-</v>
        <stp/>
        <stp>T&amp;T0</stp>
        <stp>ACP</stp>
        <stp>231</stp>
        <tr r="B234" s="1"/>
      </tp>
      <tp t="s">
        <v>-</v>
        <stp/>
        <stp>T&amp;T0</stp>
        <stp>AGR</stp>
        <stp>273</stp>
        <tr r="F276" s="1"/>
      </tp>
      <tp t="s">
        <v>-</v>
        <stp/>
        <stp>T&amp;T0</stp>
        <stp>ACP</stp>
        <stp>232</stp>
        <tr r="B235" s="1"/>
      </tp>
      <tp t="s">
        <v>-</v>
        <stp/>
        <stp>T&amp;T0</stp>
        <stp>AGR</stp>
        <stp>270</stp>
        <tr r="F273" s="1"/>
      </tp>
      <tp t="s">
        <v>-</v>
        <stp/>
        <stp>T&amp;T0</stp>
        <stp>ACP</stp>
        <stp>233</stp>
        <tr r="B236" s="1"/>
      </tp>
      <tp t="s">
        <v>-</v>
        <stp/>
        <stp>T&amp;T0</stp>
        <stp>AGR</stp>
        <stp>271</stp>
        <tr r="F274" s="1"/>
      </tp>
      <tp t="s">
        <v>-</v>
        <stp/>
        <stp>T&amp;T0</stp>
        <stp>ACP</stp>
        <stp>238</stp>
        <tr r="B241" s="1"/>
      </tp>
      <tp t="s">
        <v>-</v>
        <stp/>
        <stp>T&amp;T0</stp>
        <stp>ACP</stp>
        <stp>239</stp>
        <tr r="B242" s="1"/>
      </tp>
      <tp t="s">
        <v>-</v>
        <stp/>
        <stp>T&amp;T0</stp>
        <stp>AGR</stp>
        <stp>278</stp>
        <tr r="F281" s="1"/>
      </tp>
      <tp t="s">
        <v>-</v>
        <stp/>
        <stp>T&amp;T0</stp>
        <stp>AGR</stp>
        <stp>279</stp>
        <tr r="F282" s="1"/>
      </tp>
      <tp t="s">
        <v>-</v>
        <stp/>
        <stp>T&amp;T0</stp>
        <stp>ACP</stp>
        <stp>224</stp>
        <tr r="B227" s="1"/>
      </tp>
      <tp t="s">
        <v>-</v>
        <stp/>
        <stp>T&amp;T0</stp>
        <stp>AGR</stp>
        <stp>266</stp>
        <tr r="F269" s="1"/>
      </tp>
      <tp t="s">
        <v>-</v>
        <stp/>
        <stp>T&amp;T0</stp>
        <stp>ACP</stp>
        <stp>225</stp>
        <tr r="B228" s="1"/>
      </tp>
      <tp t="s">
        <v>-</v>
        <stp/>
        <stp>T&amp;T0</stp>
        <stp>AGR</stp>
        <stp>267</stp>
        <tr r="F270" s="1"/>
      </tp>
      <tp t="s">
        <v>-</v>
        <stp/>
        <stp>T&amp;T0</stp>
        <stp>ACP</stp>
        <stp>226</stp>
        <tr r="B229" s="1"/>
      </tp>
      <tp t="s">
        <v>-</v>
        <stp/>
        <stp>T&amp;T0</stp>
        <stp>AGR</stp>
        <stp>264</stp>
        <tr r="F267" s="1"/>
      </tp>
      <tp t="s">
        <v>-</v>
        <stp/>
        <stp>T&amp;T0</stp>
        <stp>ACP</stp>
        <stp>227</stp>
        <tr r="B230" s="1"/>
      </tp>
      <tp t="s">
        <v>-</v>
        <stp/>
        <stp>T&amp;T0</stp>
        <stp>AGR</stp>
        <stp>265</stp>
        <tr r="F268" s="1"/>
      </tp>
      <tp t="s">
        <v>-</v>
        <stp/>
        <stp>T&amp;T0</stp>
        <stp>ACP</stp>
        <stp>220</stp>
        <tr r="B223" s="1"/>
      </tp>
      <tp t="s">
        <v>-</v>
        <stp/>
        <stp>T&amp;T0</stp>
        <stp>AGR</stp>
        <stp>262</stp>
        <tr r="F265" s="1"/>
      </tp>
      <tp t="s">
        <v>-</v>
        <stp/>
        <stp>T&amp;T0</stp>
        <stp>ACP</stp>
        <stp>221</stp>
        <tr r="B224" s="1"/>
      </tp>
      <tp t="s">
        <v>-</v>
        <stp/>
        <stp>T&amp;T0</stp>
        <stp>AGR</stp>
        <stp>263</stp>
        <tr r="F266" s="1"/>
      </tp>
      <tp t="s">
        <v>-</v>
        <stp/>
        <stp>T&amp;T0</stp>
        <stp>ACP</stp>
        <stp>222</stp>
        <tr r="B225" s="1"/>
      </tp>
      <tp t="s">
        <v>-</v>
        <stp/>
        <stp>T&amp;T0</stp>
        <stp>AGR</stp>
        <stp>260</stp>
        <tr r="F263" s="1"/>
      </tp>
      <tp t="s">
        <v>-</v>
        <stp/>
        <stp>T&amp;T0</stp>
        <stp>ACP</stp>
        <stp>223</stp>
        <tr r="B226" s="1"/>
      </tp>
      <tp t="s">
        <v>-</v>
        <stp/>
        <stp>T&amp;T0</stp>
        <stp>AGR</stp>
        <stp>261</stp>
        <tr r="F264" s="1"/>
      </tp>
      <tp t="s">
        <v>-</v>
        <stp/>
        <stp>T&amp;T0</stp>
        <stp>ACP</stp>
        <stp>228</stp>
        <tr r="B231" s="1"/>
      </tp>
      <tp t="s">
        <v>-</v>
        <stp/>
        <stp>T&amp;T0</stp>
        <stp>ACP</stp>
        <stp>229</stp>
        <tr r="B232" s="1"/>
      </tp>
      <tp t="s">
        <v>-</v>
        <stp/>
        <stp>T&amp;T0</stp>
        <stp>AGR</stp>
        <stp>268</stp>
        <tr r="F271" s="1"/>
      </tp>
      <tp t="s">
        <v>-</v>
        <stp/>
        <stp>T&amp;T0</stp>
        <stp>AGR</stp>
        <stp>269</stp>
        <tr r="F272" s="1"/>
      </tp>
      <tp t="s">
        <v>-</v>
        <stp/>
        <stp>T&amp;T0</stp>
        <stp>ACP</stp>
        <stp>214</stp>
        <tr r="B217" s="1"/>
      </tp>
      <tp t="s">
        <v>-</v>
        <stp/>
        <stp>T&amp;T0</stp>
        <stp>AGR</stp>
        <stp>256</stp>
        <tr r="F259" s="1"/>
      </tp>
      <tp t="s">
        <v>-</v>
        <stp/>
        <stp>T&amp;T0</stp>
        <stp>ACP</stp>
        <stp>215</stp>
        <tr r="B218" s="1"/>
      </tp>
      <tp t="s">
        <v>-</v>
        <stp/>
        <stp>T&amp;T0</stp>
        <stp>AGR</stp>
        <stp>257</stp>
        <tr r="F260" s="1"/>
      </tp>
      <tp t="s">
        <v>-</v>
        <stp/>
        <stp>T&amp;T0</stp>
        <stp>ACP</stp>
        <stp>216</stp>
        <tr r="B219" s="1"/>
      </tp>
      <tp t="s">
        <v>-</v>
        <stp/>
        <stp>T&amp;T0</stp>
        <stp>AGR</stp>
        <stp>254</stp>
        <tr r="F257" s="1"/>
      </tp>
      <tp t="s">
        <v>-</v>
        <stp/>
        <stp>T&amp;T0</stp>
        <stp>ACP</stp>
        <stp>217</stp>
        <tr r="B220" s="1"/>
      </tp>
      <tp t="s">
        <v>-</v>
        <stp/>
        <stp>T&amp;T0</stp>
        <stp>AGR</stp>
        <stp>255</stp>
        <tr r="F258" s="1"/>
      </tp>
      <tp t="s">
        <v>-</v>
        <stp/>
        <stp>T&amp;T0</stp>
        <stp>ACP</stp>
        <stp>210</stp>
        <tr r="B213" s="1"/>
      </tp>
      <tp t="s">
        <v>-</v>
        <stp/>
        <stp>T&amp;T0</stp>
        <stp>AGR</stp>
        <stp>252</stp>
        <tr r="F255" s="1"/>
      </tp>
      <tp t="s">
        <v>-</v>
        <stp/>
        <stp>T&amp;T0</stp>
        <stp>ACP</stp>
        <stp>211</stp>
        <tr r="B214" s="1"/>
      </tp>
      <tp t="s">
        <v>-</v>
        <stp/>
        <stp>T&amp;T0</stp>
        <stp>AGR</stp>
        <stp>253</stp>
        <tr r="F256" s="1"/>
      </tp>
      <tp t="s">
        <v>-</v>
        <stp/>
        <stp>T&amp;T0</stp>
        <stp>ACP</stp>
        <stp>212</stp>
        <tr r="B215" s="1"/>
      </tp>
      <tp t="s">
        <v>-</v>
        <stp/>
        <stp>T&amp;T0</stp>
        <stp>AGR</stp>
        <stp>250</stp>
        <tr r="F253" s="1"/>
      </tp>
      <tp t="s">
        <v>-</v>
        <stp/>
        <stp>T&amp;T0</stp>
        <stp>ACP</stp>
        <stp>213</stp>
        <tr r="B216" s="1"/>
      </tp>
      <tp t="s">
        <v>-</v>
        <stp/>
        <stp>T&amp;T0</stp>
        <stp>AGR</stp>
        <stp>251</stp>
        <tr r="F254" s="1"/>
      </tp>
      <tp t="s">
        <v>-</v>
        <stp/>
        <stp>T&amp;T0</stp>
        <stp>ACP</stp>
        <stp>218</stp>
        <tr r="B221" s="1"/>
      </tp>
      <tp t="s">
        <v>-</v>
        <stp/>
        <stp>T&amp;T0</stp>
        <stp>ACP</stp>
        <stp>219</stp>
        <tr r="B222" s="1"/>
      </tp>
      <tp t="s">
        <v>-</v>
        <stp/>
        <stp>T&amp;T0</stp>
        <stp>AGR</stp>
        <stp>258</stp>
        <tr r="F261" s="1"/>
      </tp>
      <tp t="s">
        <v>-</v>
        <stp/>
        <stp>T&amp;T0</stp>
        <stp>AGR</stp>
        <stp>259</stp>
        <tr r="F262" s="1"/>
      </tp>
      <tp t="s">
        <v>-</v>
        <stp/>
        <stp>T&amp;T0</stp>
        <stp>ACP</stp>
        <stp>204</stp>
        <tr r="B207" s="1"/>
      </tp>
      <tp t="s">
        <v>-</v>
        <stp/>
        <stp>T&amp;T0</stp>
        <stp>AGR</stp>
        <stp>246</stp>
        <tr r="F249" s="1"/>
      </tp>
      <tp t="s">
        <v>-</v>
        <stp/>
        <stp>T&amp;T0</stp>
        <stp>ACP</stp>
        <stp>205</stp>
        <tr r="B208" s="1"/>
      </tp>
      <tp t="s">
        <v>-</v>
        <stp/>
        <stp>T&amp;T0</stp>
        <stp>AGR</stp>
        <stp>247</stp>
        <tr r="F250" s="1"/>
      </tp>
      <tp t="s">
        <v>-</v>
        <stp/>
        <stp>T&amp;T0</stp>
        <stp>ACP</stp>
        <stp>206</stp>
        <tr r="B209" s="1"/>
      </tp>
      <tp t="s">
        <v>-</v>
        <stp/>
        <stp>T&amp;T0</stp>
        <stp>AGR</stp>
        <stp>244</stp>
        <tr r="F247" s="1"/>
      </tp>
      <tp t="s">
        <v>-</v>
        <stp/>
        <stp>T&amp;T0</stp>
        <stp>ACP</stp>
        <stp>207</stp>
        <tr r="B210" s="1"/>
      </tp>
      <tp t="s">
        <v>-</v>
        <stp/>
        <stp>T&amp;T0</stp>
        <stp>AGR</stp>
        <stp>245</stp>
        <tr r="F248" s="1"/>
      </tp>
      <tp t="s">
        <v>-</v>
        <stp/>
        <stp>T&amp;T0</stp>
        <stp>ACP</stp>
        <stp>200</stp>
        <tr r="B203" s="1"/>
      </tp>
      <tp t="s">
        <v>-</v>
        <stp/>
        <stp>T&amp;T0</stp>
        <stp>AGR</stp>
        <stp>242</stp>
        <tr r="F245" s="1"/>
      </tp>
      <tp t="s">
        <v>-</v>
        <stp/>
        <stp>T&amp;T0</stp>
        <stp>ACP</stp>
        <stp>201</stp>
        <tr r="B204" s="1"/>
      </tp>
      <tp t="s">
        <v>-</v>
        <stp/>
        <stp>T&amp;T0</stp>
        <stp>AGR</stp>
        <stp>243</stp>
        <tr r="F246" s="1"/>
      </tp>
      <tp t="s">
        <v>-</v>
        <stp/>
        <stp>T&amp;T0</stp>
        <stp>ACP</stp>
        <stp>202</stp>
        <tr r="B205" s="1"/>
      </tp>
      <tp t="s">
        <v>-</v>
        <stp/>
        <stp>T&amp;T0</stp>
        <stp>AGR</stp>
        <stp>240</stp>
        <tr r="F243" s="1"/>
      </tp>
      <tp t="s">
        <v>-</v>
        <stp/>
        <stp>T&amp;T0</stp>
        <stp>ACP</stp>
        <stp>203</stp>
        <tr r="B206" s="1"/>
      </tp>
      <tp t="s">
        <v>-</v>
        <stp/>
        <stp>T&amp;T0</stp>
        <stp>AGR</stp>
        <stp>241</stp>
        <tr r="F244" s="1"/>
      </tp>
      <tp t="s">
        <v>-</v>
        <stp/>
        <stp>T&amp;T0</stp>
        <stp>ACP</stp>
        <stp>208</stp>
        <tr r="B211" s="1"/>
      </tp>
      <tp t="s">
        <v>-</v>
        <stp/>
        <stp>T&amp;T0</stp>
        <stp>ACP</stp>
        <stp>209</stp>
        <tr r="B212" s="1"/>
      </tp>
      <tp t="s">
        <v>-</v>
        <stp/>
        <stp>T&amp;T0</stp>
        <stp>AGR</stp>
        <stp>248</stp>
        <tr r="F251" s="1"/>
      </tp>
      <tp t="s">
        <v>-</v>
        <stp/>
        <stp>T&amp;T0</stp>
        <stp>AGR</stp>
        <stp>249</stp>
        <tr r="F252" s="1"/>
      </tp>
      <tp t="s">
        <v>-</v>
        <stp/>
        <stp>T&amp;T0</stp>
        <stp>AVD</stp>
        <stp>280</stp>
        <tr r="E283" s="1"/>
      </tp>
      <tp t="s">
        <v>-</v>
        <stp/>
        <stp>T&amp;T0</stp>
        <stp>AVD</stp>
        <stp>281</stp>
        <tr r="E284" s="1"/>
      </tp>
      <tp t="s">
        <v>-</v>
        <stp/>
        <stp>T&amp;T0</stp>
        <stp>AVD</stp>
        <stp>282</stp>
        <tr r="E285" s="1"/>
      </tp>
      <tp t="s">
        <v>-</v>
        <stp/>
        <stp>T&amp;T0</stp>
        <stp>AVD</stp>
        <stp>283</stp>
        <tr r="E286" s="1"/>
      </tp>
      <tp t="s">
        <v>-</v>
        <stp/>
        <stp>T&amp;T0</stp>
        <stp>AVD</stp>
        <stp>284</stp>
        <tr r="E287" s="1"/>
      </tp>
      <tp t="s">
        <v>-</v>
        <stp/>
        <stp>T&amp;T0</stp>
        <stp>AVD</stp>
        <stp>285</stp>
        <tr r="E288" s="1"/>
      </tp>
      <tp t="s">
        <v>-</v>
        <stp/>
        <stp>T&amp;T0</stp>
        <stp>AVD</stp>
        <stp>286</stp>
        <tr r="E289" s="1"/>
      </tp>
      <tp t="s">
        <v>-</v>
        <stp/>
        <stp>T&amp;T0</stp>
        <stp>AVD</stp>
        <stp>287</stp>
        <tr r="E290" s="1"/>
      </tp>
      <tp t="s">
        <v>-</v>
        <stp/>
        <stp>T&amp;T0</stp>
        <stp>AVD</stp>
        <stp>288</stp>
        <tr r="E291" s="1"/>
      </tp>
      <tp t="s">
        <v>-</v>
        <stp/>
        <stp>T&amp;T0</stp>
        <stp>AVD</stp>
        <stp>289</stp>
        <tr r="E292" s="1"/>
      </tp>
      <tp t="s">
        <v>-</v>
        <stp/>
        <stp>T&amp;T0</stp>
        <stp>AVD</stp>
        <stp>290</stp>
        <tr r="E293" s="1"/>
      </tp>
      <tp t="s">
        <v>-</v>
        <stp/>
        <stp>T&amp;T0</stp>
        <stp>AVD</stp>
        <stp>291</stp>
        <tr r="E294" s="1"/>
      </tp>
      <tp t="s">
        <v>-</v>
        <stp/>
        <stp>T&amp;T0</stp>
        <stp>AVD</stp>
        <stp>292</stp>
        <tr r="E295" s="1"/>
      </tp>
      <tp t="s">
        <v>-</v>
        <stp/>
        <stp>T&amp;T0</stp>
        <stp>AVD</stp>
        <stp>293</stp>
        <tr r="E296" s="1"/>
      </tp>
      <tp t="s">
        <v>-</v>
        <stp/>
        <stp>T&amp;T0</stp>
        <stp>AVD</stp>
        <stp>294</stp>
        <tr r="E297" s="1"/>
      </tp>
      <tp t="s">
        <v>-</v>
        <stp/>
        <stp>T&amp;T0</stp>
        <stp>AVD</stp>
        <stp>295</stp>
        <tr r="E298" s="1"/>
      </tp>
      <tp t="s">
        <v>-</v>
        <stp/>
        <stp>T&amp;T0</stp>
        <stp>AVD</stp>
        <stp>296</stp>
        <tr r="E299" s="1"/>
      </tp>
      <tp t="s">
        <v>-</v>
        <stp/>
        <stp>T&amp;T0</stp>
        <stp>AVD</stp>
        <stp>297</stp>
        <tr r="E300" s="1"/>
      </tp>
      <tp t="s">
        <v>-</v>
        <stp/>
        <stp>T&amp;T0</stp>
        <stp>AVD</stp>
        <stp>298</stp>
        <tr r="E301" s="1"/>
      </tp>
      <tp t="s">
        <v>-</v>
        <stp/>
        <stp>T&amp;T0</stp>
        <stp>AVD</stp>
        <stp>299</stp>
        <tr r="E302" s="1"/>
      </tp>
      <tp t="s">
        <v>-</v>
        <stp/>
        <stp>T&amp;T0</stp>
        <stp>AVD</stp>
        <stp>220</stp>
        <tr r="E223" s="1"/>
      </tp>
      <tp t="s">
        <v>-</v>
        <stp/>
        <stp>T&amp;T0</stp>
        <stp>AVD</stp>
        <stp>221</stp>
        <tr r="E224" s="1"/>
      </tp>
      <tp t="s">
        <v>-</v>
        <stp/>
        <stp>T&amp;T0</stp>
        <stp>AVD</stp>
        <stp>222</stp>
        <tr r="E225" s="1"/>
      </tp>
      <tp t="s">
        <v>-</v>
        <stp/>
        <stp>T&amp;T0</stp>
        <stp>AVD</stp>
        <stp>223</stp>
        <tr r="E226" s="1"/>
      </tp>
      <tp t="s">
        <v>-</v>
        <stp/>
        <stp>T&amp;T0</stp>
        <stp>AVD</stp>
        <stp>224</stp>
        <tr r="E227" s="1"/>
      </tp>
      <tp t="s">
        <v>-</v>
        <stp/>
        <stp>T&amp;T0</stp>
        <stp>AVD</stp>
        <stp>225</stp>
        <tr r="E228" s="1"/>
      </tp>
      <tp t="s">
        <v>-</v>
        <stp/>
        <stp>T&amp;T0</stp>
        <stp>AVD</stp>
        <stp>226</stp>
        <tr r="E229" s="1"/>
      </tp>
      <tp t="s">
        <v>-</v>
        <stp/>
        <stp>T&amp;T0</stp>
        <stp>AVD</stp>
        <stp>227</stp>
        <tr r="E230" s="1"/>
      </tp>
      <tp t="s">
        <v>-</v>
        <stp/>
        <stp>T&amp;T0</stp>
        <stp>AVD</stp>
        <stp>228</stp>
        <tr r="E231" s="1"/>
      </tp>
      <tp t="s">
        <v>-</v>
        <stp/>
        <stp>T&amp;T0</stp>
        <stp>AVD</stp>
        <stp>229</stp>
        <tr r="E232" s="1"/>
      </tp>
      <tp t="s">
        <v>-</v>
        <stp/>
        <stp>T&amp;T0</stp>
        <stp>AVD</stp>
        <stp>230</stp>
        <tr r="E233" s="1"/>
      </tp>
      <tp t="s">
        <v>-</v>
        <stp/>
        <stp>T&amp;T0</stp>
        <stp>AVD</stp>
        <stp>231</stp>
        <tr r="E234" s="1"/>
      </tp>
      <tp t="s">
        <v>-</v>
        <stp/>
        <stp>T&amp;T0</stp>
        <stp>AVD</stp>
        <stp>232</stp>
        <tr r="E235" s="1"/>
      </tp>
      <tp t="s">
        <v>-</v>
        <stp/>
        <stp>T&amp;T0</stp>
        <stp>AVD</stp>
        <stp>233</stp>
        <tr r="E236" s="1"/>
      </tp>
      <tp t="s">
        <v>-</v>
        <stp/>
        <stp>T&amp;T0</stp>
        <stp>AVD</stp>
        <stp>234</stp>
        <tr r="E237" s="1"/>
      </tp>
      <tp t="s">
        <v>-</v>
        <stp/>
        <stp>T&amp;T0</stp>
        <stp>AVD</stp>
        <stp>235</stp>
        <tr r="E238" s="1"/>
      </tp>
      <tp t="s">
        <v>-</v>
        <stp/>
        <stp>T&amp;T0</stp>
        <stp>AVD</stp>
        <stp>236</stp>
        <tr r="E239" s="1"/>
      </tp>
      <tp t="s">
        <v>-</v>
        <stp/>
        <stp>T&amp;T0</stp>
        <stp>AVD</stp>
        <stp>237</stp>
        <tr r="E240" s="1"/>
      </tp>
      <tp t="s">
        <v>-</v>
        <stp/>
        <stp>T&amp;T0</stp>
        <stp>AVD</stp>
        <stp>238</stp>
        <tr r="E241" s="1"/>
      </tp>
      <tp t="s">
        <v>-</v>
        <stp/>
        <stp>T&amp;T0</stp>
        <stp>AVD</stp>
        <stp>239</stp>
        <tr r="E242" s="1"/>
      </tp>
      <tp t="s">
        <v>-</v>
        <stp/>
        <stp>T&amp;T0</stp>
        <stp>AVD</stp>
        <stp>200</stp>
        <tr r="E203" s="1"/>
      </tp>
      <tp t="s">
        <v>-</v>
        <stp/>
        <stp>T&amp;T0</stp>
        <stp>AVD</stp>
        <stp>201</stp>
        <tr r="E204" s="1"/>
      </tp>
      <tp t="s">
        <v>-</v>
        <stp/>
        <stp>T&amp;T0</stp>
        <stp>AVD</stp>
        <stp>202</stp>
        <tr r="E205" s="1"/>
      </tp>
      <tp t="s">
        <v>-</v>
        <stp/>
        <stp>T&amp;T0</stp>
        <stp>AVD</stp>
        <stp>203</stp>
        <tr r="E206" s="1"/>
      </tp>
      <tp t="s">
        <v>-</v>
        <stp/>
        <stp>T&amp;T0</stp>
        <stp>AVD</stp>
        <stp>204</stp>
        <tr r="E207" s="1"/>
      </tp>
      <tp t="s">
        <v>-</v>
        <stp/>
        <stp>T&amp;T0</stp>
        <stp>AVD</stp>
        <stp>205</stp>
        <tr r="E208" s="1"/>
      </tp>
      <tp t="s">
        <v>-</v>
        <stp/>
        <stp>T&amp;T0</stp>
        <stp>AVD</stp>
        <stp>206</stp>
        <tr r="E209" s="1"/>
      </tp>
      <tp t="s">
        <v>-</v>
        <stp/>
        <stp>T&amp;T0</stp>
        <stp>AVD</stp>
        <stp>207</stp>
        <tr r="E210" s="1"/>
      </tp>
      <tp t="s">
        <v>-</v>
        <stp/>
        <stp>T&amp;T0</stp>
        <stp>AVD</stp>
        <stp>208</stp>
        <tr r="E211" s="1"/>
      </tp>
      <tp t="s">
        <v>-</v>
        <stp/>
        <stp>T&amp;T0</stp>
        <stp>AVD</stp>
        <stp>209</stp>
        <tr r="E212" s="1"/>
      </tp>
      <tp t="s">
        <v>-</v>
        <stp/>
        <stp>T&amp;T0</stp>
        <stp>AVD</stp>
        <stp>210</stp>
        <tr r="E213" s="1"/>
      </tp>
      <tp t="s">
        <v>-</v>
        <stp/>
        <stp>T&amp;T0</stp>
        <stp>AVD</stp>
        <stp>211</stp>
        <tr r="E214" s="1"/>
      </tp>
      <tp t="s">
        <v>-</v>
        <stp/>
        <stp>T&amp;T0</stp>
        <stp>AVD</stp>
        <stp>212</stp>
        <tr r="E215" s="1"/>
      </tp>
      <tp t="s">
        <v>-</v>
        <stp/>
        <stp>T&amp;T0</stp>
        <stp>AVD</stp>
        <stp>213</stp>
        <tr r="E216" s="1"/>
      </tp>
      <tp t="s">
        <v>-</v>
        <stp/>
        <stp>T&amp;T0</stp>
        <stp>AVD</stp>
        <stp>214</stp>
        <tr r="E217" s="1"/>
      </tp>
      <tp t="s">
        <v>-</v>
        <stp/>
        <stp>T&amp;T0</stp>
        <stp>AVD</stp>
        <stp>215</stp>
        <tr r="E218" s="1"/>
      </tp>
      <tp t="s">
        <v>-</v>
        <stp/>
        <stp>T&amp;T0</stp>
        <stp>AVD</stp>
        <stp>216</stp>
        <tr r="E219" s="1"/>
      </tp>
      <tp t="s">
        <v>-</v>
        <stp/>
        <stp>T&amp;T0</stp>
        <stp>AVD</stp>
        <stp>217</stp>
        <tr r="E220" s="1"/>
      </tp>
      <tp t="s">
        <v>-</v>
        <stp/>
        <stp>T&amp;T0</stp>
        <stp>AVD</stp>
        <stp>218</stp>
        <tr r="E221" s="1"/>
      </tp>
      <tp t="s">
        <v>-</v>
        <stp/>
        <stp>T&amp;T0</stp>
        <stp>AVD</stp>
        <stp>219</stp>
        <tr r="E222" s="1"/>
      </tp>
      <tp t="s">
        <v>-</v>
        <stp/>
        <stp>T&amp;T0</stp>
        <stp>AVD</stp>
        <stp>260</stp>
        <tr r="E263" s="1"/>
      </tp>
      <tp t="s">
        <v>-</v>
        <stp/>
        <stp>T&amp;T0</stp>
        <stp>AVD</stp>
        <stp>261</stp>
        <tr r="E264" s="1"/>
      </tp>
      <tp t="s">
        <v>-</v>
        <stp/>
        <stp>T&amp;T0</stp>
        <stp>AVD</stp>
        <stp>262</stp>
        <tr r="E265" s="1"/>
      </tp>
      <tp t="s">
        <v>-</v>
        <stp/>
        <stp>T&amp;T0</stp>
        <stp>AVD</stp>
        <stp>263</stp>
        <tr r="E266" s="1"/>
      </tp>
      <tp t="s">
        <v>-</v>
        <stp/>
        <stp>T&amp;T0</stp>
        <stp>AVD</stp>
        <stp>264</stp>
        <tr r="E267" s="1"/>
      </tp>
      <tp t="s">
        <v>-</v>
        <stp/>
        <stp>T&amp;T0</stp>
        <stp>AVD</stp>
        <stp>265</stp>
        <tr r="E268" s="1"/>
      </tp>
      <tp t="s">
        <v>-</v>
        <stp/>
        <stp>T&amp;T0</stp>
        <stp>AVD</stp>
        <stp>266</stp>
        <tr r="E269" s="1"/>
      </tp>
      <tp t="s">
        <v>-</v>
        <stp/>
        <stp>T&amp;T0</stp>
        <stp>AVD</stp>
        <stp>267</stp>
        <tr r="E270" s="1"/>
      </tp>
      <tp t="s">
        <v>-</v>
        <stp/>
        <stp>T&amp;T0</stp>
        <stp>AVD</stp>
        <stp>268</stp>
        <tr r="E271" s="1"/>
      </tp>
      <tp t="s">
        <v>-</v>
        <stp/>
        <stp>T&amp;T0</stp>
        <stp>AVD</stp>
        <stp>269</stp>
        <tr r="E272" s="1"/>
      </tp>
      <tp t="s">
        <v>-</v>
        <stp/>
        <stp>T&amp;T0</stp>
        <stp>AVD</stp>
        <stp>270</stp>
        <tr r="E273" s="1"/>
      </tp>
      <tp t="s">
        <v>-</v>
        <stp/>
        <stp>T&amp;T0</stp>
        <stp>AVD</stp>
        <stp>271</stp>
        <tr r="E274" s="1"/>
      </tp>
      <tp t="s">
        <v>-</v>
        <stp/>
        <stp>T&amp;T0</stp>
        <stp>AVD</stp>
        <stp>272</stp>
        <tr r="E275" s="1"/>
      </tp>
      <tp t="s">
        <v>-</v>
        <stp/>
        <stp>T&amp;T0</stp>
        <stp>AVD</stp>
        <stp>273</stp>
        <tr r="E276" s="1"/>
      </tp>
      <tp t="s">
        <v>-</v>
        <stp/>
        <stp>T&amp;T0</stp>
        <stp>AVD</stp>
        <stp>274</stp>
        <tr r="E277" s="1"/>
      </tp>
      <tp t="s">
        <v>-</v>
        <stp/>
        <stp>T&amp;T0</stp>
        <stp>AVD</stp>
        <stp>275</stp>
        <tr r="E278" s="1"/>
      </tp>
      <tp t="s">
        <v>-</v>
        <stp/>
        <stp>T&amp;T0</stp>
        <stp>AVD</stp>
        <stp>276</stp>
        <tr r="E279" s="1"/>
      </tp>
      <tp t="s">
        <v>-</v>
        <stp/>
        <stp>T&amp;T0</stp>
        <stp>AVD</stp>
        <stp>277</stp>
        <tr r="E280" s="1"/>
      </tp>
      <tp t="s">
        <v>-</v>
        <stp/>
        <stp>T&amp;T0</stp>
        <stp>AVD</stp>
        <stp>278</stp>
        <tr r="E281" s="1"/>
      </tp>
      <tp t="s">
        <v>-</v>
        <stp/>
        <stp>T&amp;T0</stp>
        <stp>AVD</stp>
        <stp>279</stp>
        <tr r="E282" s="1"/>
      </tp>
      <tp t="s">
        <v>-</v>
        <stp/>
        <stp>T&amp;T0</stp>
        <stp>AVD</stp>
        <stp>240</stp>
        <tr r="E243" s="1"/>
      </tp>
      <tp t="s">
        <v>-</v>
        <stp/>
        <stp>T&amp;T0</stp>
        <stp>AVD</stp>
        <stp>241</stp>
        <tr r="E244" s="1"/>
      </tp>
      <tp t="s">
        <v>-</v>
        <stp/>
        <stp>T&amp;T0</stp>
        <stp>AVD</stp>
        <stp>242</stp>
        <tr r="E245" s="1"/>
      </tp>
      <tp t="s">
        <v>-</v>
        <stp/>
        <stp>T&amp;T0</stp>
        <stp>AVD</stp>
        <stp>243</stp>
        <tr r="E246" s="1"/>
      </tp>
      <tp t="s">
        <v>-</v>
        <stp/>
        <stp>T&amp;T0</stp>
        <stp>AVD</stp>
        <stp>244</stp>
        <tr r="E247" s="1"/>
      </tp>
      <tp t="s">
        <v>-</v>
        <stp/>
        <stp>T&amp;T0</stp>
        <stp>AVD</stp>
        <stp>245</stp>
        <tr r="E248" s="1"/>
      </tp>
      <tp t="s">
        <v>-</v>
        <stp/>
        <stp>T&amp;T0</stp>
        <stp>AVD</stp>
        <stp>246</stp>
        <tr r="E249" s="1"/>
      </tp>
      <tp t="s">
        <v>-</v>
        <stp/>
        <stp>T&amp;T0</stp>
        <stp>AVD</stp>
        <stp>247</stp>
        <tr r="E250" s="1"/>
      </tp>
      <tp t="s">
        <v>-</v>
        <stp/>
        <stp>T&amp;T0</stp>
        <stp>AVD</stp>
        <stp>248</stp>
        <tr r="E251" s="1"/>
      </tp>
      <tp t="s">
        <v>-</v>
        <stp/>
        <stp>T&amp;T0</stp>
        <stp>AVD</stp>
        <stp>249</stp>
        <tr r="E252" s="1"/>
      </tp>
      <tp t="s">
        <v>-</v>
        <stp/>
        <stp>T&amp;T0</stp>
        <stp>AVD</stp>
        <stp>250</stp>
        <tr r="E253" s="1"/>
      </tp>
      <tp t="s">
        <v>-</v>
        <stp/>
        <stp>T&amp;T0</stp>
        <stp>AVD</stp>
        <stp>251</stp>
        <tr r="E254" s="1"/>
      </tp>
      <tp t="s">
        <v>-</v>
        <stp/>
        <stp>T&amp;T0</stp>
        <stp>AVD</stp>
        <stp>252</stp>
        <tr r="E255" s="1"/>
      </tp>
      <tp t="s">
        <v>-</v>
        <stp/>
        <stp>T&amp;T0</stp>
        <stp>AVD</stp>
        <stp>253</stp>
        <tr r="E256" s="1"/>
      </tp>
      <tp t="s">
        <v>-</v>
        <stp/>
        <stp>T&amp;T0</stp>
        <stp>AVD</stp>
        <stp>254</stp>
        <tr r="E257" s="1"/>
      </tp>
      <tp t="s">
        <v>-</v>
        <stp/>
        <stp>T&amp;T0</stp>
        <stp>AVD</stp>
        <stp>255</stp>
        <tr r="E258" s="1"/>
      </tp>
      <tp t="s">
        <v>-</v>
        <stp/>
        <stp>T&amp;T0</stp>
        <stp>AVD</stp>
        <stp>256</stp>
        <tr r="E259" s="1"/>
      </tp>
      <tp t="s">
        <v>-</v>
        <stp/>
        <stp>T&amp;T0</stp>
        <stp>AVD</stp>
        <stp>257</stp>
        <tr r="E260" s="1"/>
      </tp>
      <tp t="s">
        <v>-</v>
        <stp/>
        <stp>T&amp;T0</stp>
        <stp>AVD</stp>
        <stp>258</stp>
        <tr r="E261" s="1"/>
      </tp>
      <tp t="s">
        <v>-</v>
        <stp/>
        <stp>T&amp;T0</stp>
        <stp>AVD</stp>
        <stp>259</stp>
        <tr r="E262" s="1"/>
      </tp>
      <tp t="s">
        <v>-</v>
        <stp/>
        <stp>T&amp;T0</stp>
        <stp>AGR</stp>
        <stp>196</stp>
        <tr r="F199" s="1"/>
      </tp>
      <tp t="s">
        <v>-</v>
        <stp/>
        <stp>T&amp;T0</stp>
        <stp>AGR</stp>
        <stp>197</stp>
        <tr r="F200" s="1"/>
      </tp>
      <tp t="s">
        <v>-</v>
        <stp/>
        <stp>T&amp;T0</stp>
        <stp>AGR</stp>
        <stp>194</stp>
        <tr r="F197" s="1"/>
      </tp>
      <tp t="s">
        <v>-</v>
        <stp/>
        <stp>T&amp;T0</stp>
        <stp>AGR</stp>
        <stp>195</stp>
        <tr r="F198" s="1"/>
      </tp>
      <tp t="s">
        <v>-</v>
        <stp/>
        <stp>T&amp;T0</stp>
        <stp>AGR</stp>
        <stp>192</stp>
        <tr r="F195" s="1"/>
      </tp>
      <tp t="s">
        <v>-</v>
        <stp/>
        <stp>T&amp;T0</stp>
        <stp>AGR</stp>
        <stp>193</stp>
        <tr r="F196" s="1"/>
      </tp>
      <tp t="s">
        <v>-</v>
        <stp/>
        <stp>T&amp;T0</stp>
        <stp>AGR</stp>
        <stp>190</stp>
        <tr r="F193" s="1"/>
      </tp>
      <tp t="s">
        <v>-</v>
        <stp/>
        <stp>T&amp;T0</stp>
        <stp>AGR</stp>
        <stp>191</stp>
        <tr r="F194" s="1"/>
      </tp>
      <tp t="s">
        <v>-</v>
        <stp/>
        <stp>T&amp;T0</stp>
        <stp>AGR</stp>
        <stp>198</stp>
        <tr r="F201" s="1"/>
      </tp>
      <tp t="s">
        <v>-</v>
        <stp/>
        <stp>T&amp;T0</stp>
        <stp>AGR</stp>
        <stp>199</stp>
        <tr r="F202" s="1"/>
      </tp>
      <tp t="s">
        <v>-</v>
        <stp/>
        <stp>T&amp;T0</stp>
        <stp>AGR</stp>
        <stp>186</stp>
        <tr r="F189" s="1"/>
      </tp>
      <tp t="s">
        <v>-</v>
        <stp/>
        <stp>T&amp;T0</stp>
        <stp>AGR</stp>
        <stp>187</stp>
        <tr r="F190" s="1"/>
      </tp>
      <tp t="s">
        <v>-</v>
        <stp/>
        <stp>T&amp;T0</stp>
        <stp>AGR</stp>
        <stp>184</stp>
        <tr r="F187" s="1"/>
      </tp>
      <tp t="s">
        <v>-</v>
        <stp/>
        <stp>T&amp;T0</stp>
        <stp>AGR</stp>
        <stp>185</stp>
        <tr r="F188" s="1"/>
      </tp>
      <tp t="s">
        <v>-</v>
        <stp/>
        <stp>T&amp;T0</stp>
        <stp>AGR</stp>
        <stp>182</stp>
        <tr r="F185" s="1"/>
      </tp>
      <tp t="s">
        <v>-</v>
        <stp/>
        <stp>T&amp;T0</stp>
        <stp>AGR</stp>
        <stp>183</stp>
        <tr r="F186" s="1"/>
      </tp>
      <tp t="s">
        <v>-</v>
        <stp/>
        <stp>T&amp;T0</stp>
        <stp>AGR</stp>
        <stp>180</stp>
        <tr r="F183" s="1"/>
      </tp>
      <tp t="s">
        <v>-</v>
        <stp/>
        <stp>T&amp;T0</stp>
        <stp>AGR</stp>
        <stp>181</stp>
        <tr r="F184" s="1"/>
      </tp>
      <tp t="s">
        <v>-</v>
        <stp/>
        <stp>T&amp;T0</stp>
        <stp>AGR</stp>
        <stp>188</stp>
        <tr r="F191" s="1"/>
      </tp>
      <tp t="s">
        <v>-</v>
        <stp/>
        <stp>T&amp;T0</stp>
        <stp>AGR</stp>
        <stp>189</stp>
        <tr r="F192" s="1"/>
      </tp>
      <tp t="s">
        <v>-</v>
        <stp/>
        <stp>T&amp;T0</stp>
        <stp>DAT</stp>
        <stp>490</stp>
        <tr r="A493" s="1"/>
      </tp>
      <tp t="s">
        <v>-</v>
        <stp/>
        <stp>T&amp;T0</stp>
        <stp>DAT</stp>
        <stp>491</stp>
        <tr r="A494" s="1"/>
      </tp>
      <tp t="s">
        <v>-</v>
        <stp/>
        <stp>T&amp;T0</stp>
        <stp>DAT</stp>
        <stp>492</stp>
        <tr r="A495" s="1"/>
      </tp>
      <tp t="s">
        <v>-</v>
        <stp/>
        <stp>T&amp;T0</stp>
        <stp>DAT</stp>
        <stp>493</stp>
        <tr r="A496" s="1"/>
      </tp>
      <tp t="s">
        <v>-</v>
        <stp/>
        <stp>T&amp;T0</stp>
        <stp>DAT</stp>
        <stp>494</stp>
        <tr r="A497" s="1"/>
      </tp>
      <tp t="s">
        <v>-</v>
        <stp/>
        <stp>T&amp;T0</stp>
        <stp>DAT</stp>
        <stp>495</stp>
        <tr r="A498" s="1"/>
      </tp>
      <tp t="s">
        <v>-</v>
        <stp/>
        <stp>T&amp;T0</stp>
        <stp>DAT</stp>
        <stp>496</stp>
        <tr r="A499" s="1"/>
      </tp>
      <tp t="s">
        <v>-</v>
        <stp/>
        <stp>T&amp;T0</stp>
        <stp>DAT</stp>
        <stp>497</stp>
        <tr r="A500" s="1"/>
      </tp>
      <tp t="s">
        <v>-</v>
        <stp/>
        <stp>T&amp;T0</stp>
        <stp>DAT</stp>
        <stp>498</stp>
        <tr r="A501" s="1"/>
      </tp>
      <tp t="s">
        <v>-</v>
        <stp/>
        <stp>T&amp;T0</stp>
        <stp>DAT</stp>
        <stp>499</stp>
        <tr r="A503" s="1"/>
        <tr r="A502" s="1"/>
      </tp>
      <tp t="s">
        <v>-</v>
        <stp/>
        <stp>T&amp;T0</stp>
        <stp>DAT</stp>
        <stp>480</stp>
        <tr r="A483" s="1"/>
      </tp>
      <tp t="s">
        <v>-</v>
        <stp/>
        <stp>T&amp;T0</stp>
        <stp>DAT</stp>
        <stp>481</stp>
        <tr r="A484" s="1"/>
      </tp>
      <tp t="s">
        <v>-</v>
        <stp/>
        <stp>T&amp;T0</stp>
        <stp>DAT</stp>
        <stp>482</stp>
        <tr r="A485" s="1"/>
      </tp>
      <tp t="s">
        <v>-</v>
        <stp/>
        <stp>T&amp;T0</stp>
        <stp>DAT</stp>
        <stp>483</stp>
        <tr r="A486" s="1"/>
      </tp>
      <tp t="s">
        <v>-</v>
        <stp/>
        <stp>T&amp;T0</stp>
        <stp>DAT</stp>
        <stp>484</stp>
        <tr r="A487" s="1"/>
      </tp>
      <tp t="s">
        <v>-</v>
        <stp/>
        <stp>T&amp;T0</stp>
        <stp>DAT</stp>
        <stp>485</stp>
        <tr r="A488" s="1"/>
      </tp>
      <tp t="s">
        <v>-</v>
        <stp/>
        <stp>T&amp;T0</stp>
        <stp>DAT</stp>
        <stp>486</stp>
        <tr r="A489" s="1"/>
      </tp>
      <tp t="s">
        <v>-</v>
        <stp/>
        <stp>T&amp;T0</stp>
        <stp>DAT</stp>
        <stp>487</stp>
        <tr r="A490" s="1"/>
      </tp>
      <tp t="s">
        <v>-</v>
        <stp/>
        <stp>T&amp;T0</stp>
        <stp>DAT</stp>
        <stp>488</stp>
        <tr r="A491" s="1"/>
      </tp>
      <tp t="s">
        <v>-</v>
        <stp/>
        <stp>T&amp;T0</stp>
        <stp>DAT</stp>
        <stp>489</stp>
        <tr r="A492" s="1"/>
      </tp>
      <tp t="s">
        <v>-</v>
        <stp/>
        <stp>T&amp;T0</stp>
        <stp>ACP</stp>
        <stp>194</stp>
        <tr r="B197" s="1"/>
      </tp>
      <tp t="s">
        <v>-</v>
        <stp/>
        <stp>T&amp;T0</stp>
        <stp>ACP</stp>
        <stp>195</stp>
        <tr r="B198" s="1"/>
      </tp>
      <tp t="s">
        <v>-</v>
        <stp/>
        <stp>T&amp;T0</stp>
        <stp>ACP</stp>
        <stp>196</stp>
        <tr r="B199" s="1"/>
      </tp>
      <tp t="s">
        <v>-</v>
        <stp/>
        <stp>T&amp;T0</stp>
        <stp>ACP</stp>
        <stp>197</stp>
        <tr r="B200" s="1"/>
      </tp>
      <tp t="s">
        <v>-</v>
        <stp/>
        <stp>T&amp;T0</stp>
        <stp>ACP</stp>
        <stp>190</stp>
        <tr r="B193" s="1"/>
      </tp>
      <tp t="s">
        <v>-</v>
        <stp/>
        <stp>T&amp;T0</stp>
        <stp>ACP</stp>
        <stp>191</stp>
        <tr r="B194" s="1"/>
      </tp>
      <tp t="s">
        <v>-</v>
        <stp/>
        <stp>T&amp;T0</stp>
        <stp>ACP</stp>
        <stp>192</stp>
        <tr r="B195" s="1"/>
      </tp>
      <tp t="s">
        <v>-</v>
        <stp/>
        <stp>T&amp;T0</stp>
        <stp>ACP</stp>
        <stp>193</stp>
        <tr r="B196" s="1"/>
      </tp>
      <tp t="s">
        <v>-</v>
        <stp/>
        <stp>T&amp;T0</stp>
        <stp>ACP</stp>
        <stp>198</stp>
        <tr r="B201" s="1"/>
      </tp>
      <tp t="s">
        <v>-</v>
        <stp/>
        <stp>T&amp;T0</stp>
        <stp>ACP</stp>
        <stp>199</stp>
        <tr r="B202" s="1"/>
      </tp>
      <tp t="s">
        <v>-</v>
        <stp/>
        <stp>T&amp;T0</stp>
        <stp>ACP</stp>
        <stp>184</stp>
        <tr r="B187" s="1"/>
      </tp>
      <tp t="s">
        <v>-</v>
        <stp/>
        <stp>T&amp;T0</stp>
        <stp>ACP</stp>
        <stp>185</stp>
        <tr r="B188" s="1"/>
      </tp>
      <tp t="s">
        <v>-</v>
        <stp/>
        <stp>T&amp;T0</stp>
        <stp>ACP</stp>
        <stp>186</stp>
        <tr r="B189" s="1"/>
      </tp>
      <tp t="s">
        <v>-</v>
        <stp/>
        <stp>T&amp;T0</stp>
        <stp>ACP</stp>
        <stp>187</stp>
        <tr r="B190" s="1"/>
      </tp>
      <tp t="s">
        <v>-</v>
        <stp/>
        <stp>T&amp;T0</stp>
        <stp>ACP</stp>
        <stp>180</stp>
        <tr r="B183" s="1"/>
      </tp>
      <tp t="s">
        <v>-</v>
        <stp/>
        <stp>T&amp;T0</stp>
        <stp>ACP</stp>
        <stp>181</stp>
        <tr r="B184" s="1"/>
      </tp>
      <tp t="s">
        <v>-</v>
        <stp/>
        <stp>T&amp;T0</stp>
        <stp>ACP</stp>
        <stp>182</stp>
        <tr r="B185" s="1"/>
      </tp>
      <tp t="s">
        <v>-</v>
        <stp/>
        <stp>T&amp;T0</stp>
        <stp>ACP</stp>
        <stp>183</stp>
        <tr r="B186" s="1"/>
      </tp>
      <tp t="s">
        <v>-</v>
        <stp/>
        <stp>T&amp;T0</stp>
        <stp>ACP</stp>
        <stp>188</stp>
        <tr r="B191" s="1"/>
      </tp>
      <tp t="s">
        <v>-</v>
        <stp/>
        <stp>T&amp;T0</stp>
        <stp>ACP</stp>
        <stp>189</stp>
        <tr r="B192" s="1"/>
      </tp>
      <tp t="s">
        <v>-</v>
        <stp/>
        <stp>T&amp;T0</stp>
        <stp>ACP</stp>
        <stp>174</stp>
        <tr r="B177" s="1"/>
      </tp>
      <tp t="s">
        <v>-</v>
        <stp/>
        <stp>T&amp;T0</stp>
        <stp>AGR</stp>
        <stp>136</stp>
        <tr r="F139" s="1"/>
      </tp>
      <tp t="s">
        <v>-</v>
        <stp/>
        <stp>T&amp;T0</stp>
        <stp>DAT</stp>
        <stp>450</stp>
        <tr r="A453" s="1"/>
      </tp>
      <tp t="s">
        <v>-</v>
        <stp/>
        <stp>T&amp;T0</stp>
        <stp>ACP</stp>
        <stp>175</stp>
        <tr r="B178" s="1"/>
      </tp>
      <tp t="s">
        <v>-</v>
        <stp/>
        <stp>T&amp;T0</stp>
        <stp>AGR</stp>
        <stp>137</stp>
        <tr r="F140" s="1"/>
      </tp>
      <tp t="s">
        <v>-</v>
        <stp/>
        <stp>T&amp;T0</stp>
        <stp>DAT</stp>
        <stp>451</stp>
        <tr r="A454" s="1"/>
      </tp>
      <tp t="s">
        <v>-</v>
        <stp/>
        <stp>T&amp;T0</stp>
        <stp>ACP</stp>
        <stp>176</stp>
        <tr r="B179" s="1"/>
      </tp>
      <tp t="s">
        <v>-</v>
        <stp/>
        <stp>T&amp;T0</stp>
        <stp>AGR</stp>
        <stp>134</stp>
        <tr r="F137" s="1"/>
      </tp>
      <tp t="s">
        <v>-</v>
        <stp/>
        <stp>T&amp;T0</stp>
        <stp>DAT</stp>
        <stp>452</stp>
        <tr r="A455" s="1"/>
      </tp>
      <tp t="s">
        <v>-</v>
        <stp/>
        <stp>T&amp;T0</stp>
        <stp>ACP</stp>
        <stp>177</stp>
        <tr r="B180" s="1"/>
      </tp>
      <tp t="s">
        <v>-</v>
        <stp/>
        <stp>T&amp;T0</stp>
        <stp>AGR</stp>
        <stp>135</stp>
        <tr r="F138" s="1"/>
      </tp>
      <tp t="s">
        <v>-</v>
        <stp/>
        <stp>T&amp;T0</stp>
        <stp>DAT</stp>
        <stp>453</stp>
        <tr r="A456" s="1"/>
      </tp>
      <tp t="s">
        <v>-</v>
        <stp/>
        <stp>T&amp;T0</stp>
        <stp>ACP</stp>
        <stp>170</stp>
        <tr r="B173" s="1"/>
      </tp>
      <tp t="s">
        <v>-</v>
        <stp/>
        <stp>T&amp;T0</stp>
        <stp>AGR</stp>
        <stp>132</stp>
        <tr r="F135" s="1"/>
      </tp>
      <tp t="s">
        <v>-</v>
        <stp/>
        <stp>T&amp;T0</stp>
        <stp>DAT</stp>
        <stp>454</stp>
        <tr r="A457" s="1"/>
      </tp>
      <tp t="s">
        <v>-</v>
        <stp/>
        <stp>T&amp;T0</stp>
        <stp>ACP</stp>
        <stp>171</stp>
        <tr r="B174" s="1"/>
      </tp>
      <tp t="s">
        <v>-</v>
        <stp/>
        <stp>T&amp;T0</stp>
        <stp>AGR</stp>
        <stp>133</stp>
        <tr r="F136" s="1"/>
      </tp>
      <tp t="s">
        <v>-</v>
        <stp/>
        <stp>T&amp;T0</stp>
        <stp>DAT</stp>
        <stp>455</stp>
        <tr r="A458" s="1"/>
      </tp>
      <tp t="s">
        <v>-</v>
        <stp/>
        <stp>T&amp;T0</stp>
        <stp>ACP</stp>
        <stp>172</stp>
        <tr r="B175" s="1"/>
      </tp>
      <tp t="s">
        <v>-</v>
        <stp/>
        <stp>T&amp;T0</stp>
        <stp>AGR</stp>
        <stp>130</stp>
        <tr r="F133" s="1"/>
      </tp>
      <tp t="s">
        <v>-</v>
        <stp/>
        <stp>T&amp;T0</stp>
        <stp>DAT</stp>
        <stp>456</stp>
        <tr r="A459" s="1"/>
      </tp>
      <tp t="s">
        <v>-</v>
        <stp/>
        <stp>T&amp;T0</stp>
        <stp>ACP</stp>
        <stp>173</stp>
        <tr r="B176" s="1"/>
      </tp>
      <tp t="s">
        <v>-</v>
        <stp/>
        <stp>T&amp;T0</stp>
        <stp>AGR</stp>
        <stp>131</stp>
        <tr r="F134" s="1"/>
      </tp>
      <tp t="s">
        <v>-</v>
        <stp/>
        <stp>T&amp;T0</stp>
        <stp>DAT</stp>
        <stp>457</stp>
        <tr r="A460" s="1"/>
      </tp>
      <tp t="s">
        <v>-</v>
        <stp/>
        <stp>T&amp;T0</stp>
        <stp>DAT</stp>
        <stp>458</stp>
        <tr r="A461" s="1"/>
      </tp>
      <tp t="s">
        <v>-</v>
        <stp/>
        <stp>T&amp;T0</stp>
        <stp>DAT</stp>
        <stp>459</stp>
        <tr r="A462" s="1"/>
      </tp>
      <tp t="s">
        <v>-</v>
        <stp/>
        <stp>T&amp;T0</stp>
        <stp>ACP</stp>
        <stp>178</stp>
        <tr r="B181" s="1"/>
      </tp>
      <tp t="s">
        <v>-</v>
        <stp/>
        <stp>T&amp;T0</stp>
        <stp>ACP</stp>
        <stp>179</stp>
        <tr r="B182" s="1"/>
      </tp>
      <tp t="s">
        <v>-</v>
        <stp/>
        <stp>T&amp;T0</stp>
        <stp>AGR</stp>
        <stp>138</stp>
        <tr r="F141" s="1"/>
      </tp>
      <tp t="s">
        <v>-</v>
        <stp/>
        <stp>T&amp;T0</stp>
        <stp>AGR</stp>
        <stp>139</stp>
        <tr r="F142" s="1"/>
      </tp>
      <tp t="s">
        <v>-</v>
        <stp/>
        <stp>T&amp;T0</stp>
        <stp>ACP</stp>
        <stp>164</stp>
        <tr r="B167" s="1"/>
      </tp>
      <tp t="s">
        <v>-</v>
        <stp/>
        <stp>T&amp;T0</stp>
        <stp>AGR</stp>
        <stp>126</stp>
        <tr r="F129" s="1"/>
      </tp>
      <tp t="s">
        <v>-</v>
        <stp/>
        <stp>T&amp;T0</stp>
        <stp>DAT</stp>
        <stp>440</stp>
        <tr r="A443" s="1"/>
      </tp>
      <tp t="s">
        <v>-</v>
        <stp/>
        <stp>T&amp;T0</stp>
        <stp>ACP</stp>
        <stp>165</stp>
        <tr r="B168" s="1"/>
      </tp>
      <tp t="s">
        <v>-</v>
        <stp/>
        <stp>T&amp;T0</stp>
        <stp>AGR</stp>
        <stp>127</stp>
        <tr r="F130" s="1"/>
      </tp>
      <tp t="s">
        <v>-</v>
        <stp/>
        <stp>T&amp;T0</stp>
        <stp>DAT</stp>
        <stp>441</stp>
        <tr r="A444" s="1"/>
      </tp>
      <tp t="s">
        <v>-</v>
        <stp/>
        <stp>T&amp;T0</stp>
        <stp>ACP</stp>
        <stp>166</stp>
        <tr r="B169" s="1"/>
      </tp>
      <tp t="s">
        <v>-</v>
        <stp/>
        <stp>T&amp;T0</stp>
        <stp>AGR</stp>
        <stp>124</stp>
        <tr r="F127" s="1"/>
      </tp>
      <tp t="s">
        <v>-</v>
        <stp/>
        <stp>T&amp;T0</stp>
        <stp>DAT</stp>
        <stp>442</stp>
        <tr r="A445" s="1"/>
      </tp>
      <tp t="s">
        <v>-</v>
        <stp/>
        <stp>T&amp;T0</stp>
        <stp>ACP</stp>
        <stp>167</stp>
        <tr r="B170" s="1"/>
      </tp>
      <tp t="s">
        <v>-</v>
        <stp/>
        <stp>T&amp;T0</stp>
        <stp>AGR</stp>
        <stp>125</stp>
        <tr r="F128" s="1"/>
      </tp>
      <tp t="s">
        <v>-</v>
        <stp/>
        <stp>T&amp;T0</stp>
        <stp>DAT</stp>
        <stp>443</stp>
        <tr r="A446" s="1"/>
      </tp>
      <tp t="s">
        <v>-</v>
        <stp/>
        <stp>T&amp;T0</stp>
        <stp>ACP</stp>
        <stp>160</stp>
        <tr r="B163" s="1"/>
      </tp>
      <tp t="s">
        <v>-</v>
        <stp/>
        <stp>T&amp;T0</stp>
        <stp>AGR</stp>
        <stp>122</stp>
        <tr r="F125" s="1"/>
      </tp>
      <tp t="s">
        <v>-</v>
        <stp/>
        <stp>T&amp;T0</stp>
        <stp>DAT</stp>
        <stp>444</stp>
        <tr r="A447" s="1"/>
      </tp>
      <tp t="s">
        <v>-</v>
        <stp/>
        <stp>T&amp;T0</stp>
        <stp>ACP</stp>
        <stp>161</stp>
        <tr r="B164" s="1"/>
      </tp>
      <tp t="s">
        <v>-</v>
        <stp/>
        <stp>T&amp;T0</stp>
        <stp>AGR</stp>
        <stp>123</stp>
        <tr r="F126" s="1"/>
      </tp>
      <tp t="s">
        <v>-</v>
        <stp/>
        <stp>T&amp;T0</stp>
        <stp>DAT</stp>
        <stp>445</stp>
        <tr r="A448" s="1"/>
      </tp>
      <tp t="s">
        <v>-</v>
        <stp/>
        <stp>T&amp;T0</stp>
        <stp>ACP</stp>
        <stp>162</stp>
        <tr r="B165" s="1"/>
      </tp>
      <tp t="s">
        <v>-</v>
        <stp/>
        <stp>T&amp;T0</stp>
        <stp>AGR</stp>
        <stp>120</stp>
        <tr r="F123" s="1"/>
      </tp>
      <tp t="s">
        <v>-</v>
        <stp/>
        <stp>T&amp;T0</stp>
        <stp>DAT</stp>
        <stp>446</stp>
        <tr r="A449" s="1"/>
      </tp>
      <tp t="s">
        <v>-</v>
        <stp/>
        <stp>T&amp;T0</stp>
        <stp>ACP</stp>
        <stp>163</stp>
        <tr r="B166" s="1"/>
      </tp>
      <tp t="s">
        <v>-</v>
        <stp/>
        <stp>T&amp;T0</stp>
        <stp>AGR</stp>
        <stp>121</stp>
        <tr r="F124" s="1"/>
      </tp>
      <tp t="s">
        <v>-</v>
        <stp/>
        <stp>T&amp;T0</stp>
        <stp>DAT</stp>
        <stp>447</stp>
        <tr r="A450" s="1"/>
      </tp>
      <tp t="s">
        <v>-</v>
        <stp/>
        <stp>T&amp;T0</stp>
        <stp>DAT</stp>
        <stp>448</stp>
        <tr r="A451" s="1"/>
      </tp>
      <tp t="s">
        <v>-</v>
        <stp/>
        <stp>T&amp;T0</stp>
        <stp>DAT</stp>
        <stp>449</stp>
        <tr r="A452" s="1"/>
      </tp>
      <tp t="s">
        <v>-</v>
        <stp/>
        <stp>T&amp;T0</stp>
        <stp>ACP</stp>
        <stp>168</stp>
        <tr r="B171" s="1"/>
      </tp>
      <tp t="s">
        <v>-</v>
        <stp/>
        <stp>T&amp;T0</stp>
        <stp>ACP</stp>
        <stp>169</stp>
        <tr r="B172" s="1"/>
      </tp>
      <tp t="s">
        <v>-</v>
        <stp/>
        <stp>T&amp;T0</stp>
        <stp>AGR</stp>
        <stp>128</stp>
        <tr r="F131" s="1"/>
      </tp>
      <tp t="s">
        <v>-</v>
        <stp/>
        <stp>T&amp;T0</stp>
        <stp>AGR</stp>
        <stp>129</stp>
        <tr r="F132" s="1"/>
      </tp>
      <tp t="s">
        <v>-</v>
        <stp/>
        <stp>T&amp;T0</stp>
        <stp>ACP</stp>
        <stp>154</stp>
        <tr r="B157" s="1"/>
      </tp>
      <tp t="s">
        <v>-</v>
        <stp/>
        <stp>T&amp;T0</stp>
        <stp>AGR</stp>
        <stp>116</stp>
        <tr r="F119" s="1"/>
      </tp>
      <tp t="s">
        <v>-</v>
        <stp/>
        <stp>T&amp;T0</stp>
        <stp>DAT</stp>
        <stp>470</stp>
        <tr r="A473" s="1"/>
      </tp>
      <tp t="s">
        <v>-</v>
        <stp/>
        <stp>T&amp;T0</stp>
        <stp>ACP</stp>
        <stp>155</stp>
        <tr r="B158" s="1"/>
      </tp>
      <tp t="s">
        <v>-</v>
        <stp/>
        <stp>T&amp;T0</stp>
        <stp>AGR</stp>
        <stp>117</stp>
        <tr r="F120" s="1"/>
      </tp>
      <tp t="s">
        <v>-</v>
        <stp/>
        <stp>T&amp;T0</stp>
        <stp>DAT</stp>
        <stp>471</stp>
        <tr r="A474" s="1"/>
      </tp>
      <tp t="s">
        <v>-</v>
        <stp/>
        <stp>T&amp;T0</stp>
        <stp>ACP</stp>
        <stp>156</stp>
        <tr r="B159" s="1"/>
      </tp>
      <tp t="s">
        <v>-</v>
        <stp/>
        <stp>T&amp;T0</stp>
        <stp>AGR</stp>
        <stp>114</stp>
        <tr r="F117" s="1"/>
      </tp>
      <tp t="s">
        <v>-</v>
        <stp/>
        <stp>T&amp;T0</stp>
        <stp>DAT</stp>
        <stp>472</stp>
        <tr r="A475" s="1"/>
      </tp>
      <tp t="s">
        <v>-</v>
        <stp/>
        <stp>T&amp;T0</stp>
        <stp>ACP</stp>
        <stp>157</stp>
        <tr r="B160" s="1"/>
      </tp>
      <tp t="s">
        <v>-</v>
        <stp/>
        <stp>T&amp;T0</stp>
        <stp>AGR</stp>
        <stp>115</stp>
        <tr r="F118" s="1"/>
      </tp>
      <tp t="s">
        <v>-</v>
        <stp/>
        <stp>T&amp;T0</stp>
        <stp>DAT</stp>
        <stp>473</stp>
        <tr r="A476" s="1"/>
      </tp>
      <tp t="s">
        <v>-</v>
        <stp/>
        <stp>T&amp;T0</stp>
        <stp>ACP</stp>
        <stp>150</stp>
        <tr r="B153" s="1"/>
      </tp>
      <tp t="s">
        <v>-</v>
        <stp/>
        <stp>T&amp;T0</stp>
        <stp>AGR</stp>
        <stp>112</stp>
        <tr r="F115" s="1"/>
      </tp>
      <tp t="s">
        <v>-</v>
        <stp/>
        <stp>T&amp;T0</stp>
        <stp>DAT</stp>
        <stp>474</stp>
        <tr r="A477" s="1"/>
      </tp>
      <tp t="s">
        <v>-</v>
        <stp/>
        <stp>T&amp;T0</stp>
        <stp>ACP</stp>
        <stp>151</stp>
        <tr r="B154" s="1"/>
      </tp>
      <tp t="s">
        <v>-</v>
        <stp/>
        <stp>T&amp;T0</stp>
        <stp>AGR</stp>
        <stp>113</stp>
        <tr r="F116" s="1"/>
      </tp>
      <tp t="s">
        <v>-</v>
        <stp/>
        <stp>T&amp;T0</stp>
        <stp>DAT</stp>
        <stp>475</stp>
        <tr r="A478" s="1"/>
      </tp>
      <tp t="s">
        <v>-</v>
        <stp/>
        <stp>T&amp;T0</stp>
        <stp>ACP</stp>
        <stp>152</stp>
        <tr r="B155" s="1"/>
      </tp>
      <tp t="s">
        <v>-</v>
        <stp/>
        <stp>T&amp;T0</stp>
        <stp>AGR</stp>
        <stp>110</stp>
        <tr r="F113" s="1"/>
      </tp>
      <tp t="s">
        <v>-</v>
        <stp/>
        <stp>T&amp;T0</stp>
        <stp>DAT</stp>
        <stp>476</stp>
        <tr r="A479" s="1"/>
      </tp>
      <tp t="s">
        <v>-</v>
        <stp/>
        <stp>T&amp;T0</stp>
        <stp>ACP</stp>
        <stp>153</stp>
        <tr r="B156" s="1"/>
      </tp>
      <tp t="s">
        <v>-</v>
        <stp/>
        <stp>T&amp;T0</stp>
        <stp>AGR</stp>
        <stp>111</stp>
        <tr r="F114" s="1"/>
      </tp>
      <tp t="s">
        <v>-</v>
        <stp/>
        <stp>T&amp;T0</stp>
        <stp>DAT</stp>
        <stp>477</stp>
        <tr r="A480" s="1"/>
      </tp>
      <tp t="s">
        <v>-</v>
        <stp/>
        <stp>T&amp;T0</stp>
        <stp>DAT</stp>
        <stp>478</stp>
        <tr r="A481" s="1"/>
      </tp>
      <tp t="s">
        <v>-</v>
        <stp/>
        <stp>T&amp;T0</stp>
        <stp>DAT</stp>
        <stp>479</stp>
        <tr r="A482" s="1"/>
      </tp>
      <tp t="s">
        <v>-</v>
        <stp/>
        <stp>T&amp;T0</stp>
        <stp>ACP</stp>
        <stp>158</stp>
        <tr r="B161" s="1"/>
      </tp>
      <tp t="s">
        <v>-</v>
        <stp/>
        <stp>T&amp;T0</stp>
        <stp>ACP</stp>
        <stp>159</stp>
        <tr r="B162" s="1"/>
      </tp>
      <tp t="s">
        <v>-</v>
        <stp/>
        <stp>T&amp;T0</stp>
        <stp>AGR</stp>
        <stp>118</stp>
        <tr r="F121" s="1"/>
      </tp>
      <tp t="s">
        <v>-</v>
        <stp/>
        <stp>T&amp;T0</stp>
        <stp>AGR</stp>
        <stp>119</stp>
        <tr r="F122" s="1"/>
      </tp>
      <tp t="s">
        <v>-</v>
        <stp/>
        <stp>T&amp;T0</stp>
        <stp>ACP</stp>
        <stp>144</stp>
        <tr r="B147" s="1"/>
      </tp>
      <tp t="s">
        <v>-</v>
        <stp/>
        <stp>T&amp;T0</stp>
        <stp>AGR</stp>
        <stp>106</stp>
        <tr r="F109" s="1"/>
      </tp>
      <tp t="s">
        <v>-</v>
        <stp/>
        <stp>T&amp;T0</stp>
        <stp>DAT</stp>
        <stp>460</stp>
        <tr r="A463" s="1"/>
      </tp>
      <tp t="s">
        <v>-</v>
        <stp/>
        <stp>T&amp;T0</stp>
        <stp>ACP</stp>
        <stp>145</stp>
        <tr r="B148" s="1"/>
      </tp>
      <tp t="s">
        <v>-</v>
        <stp/>
        <stp>T&amp;T0</stp>
        <stp>AGR</stp>
        <stp>107</stp>
        <tr r="F110" s="1"/>
      </tp>
      <tp t="s">
        <v>-</v>
        <stp/>
        <stp>T&amp;T0</stp>
        <stp>DAT</stp>
        <stp>461</stp>
        <tr r="A464" s="1"/>
      </tp>
      <tp t="s">
        <v>-</v>
        <stp/>
        <stp>T&amp;T0</stp>
        <stp>ACP</stp>
        <stp>146</stp>
        <tr r="B149" s="1"/>
      </tp>
      <tp t="s">
        <v>-</v>
        <stp/>
        <stp>T&amp;T0</stp>
        <stp>AGR</stp>
        <stp>104</stp>
        <tr r="F107" s="1"/>
      </tp>
      <tp t="s">
        <v>-</v>
        <stp/>
        <stp>T&amp;T0</stp>
        <stp>DAT</stp>
        <stp>462</stp>
        <tr r="A465" s="1"/>
      </tp>
      <tp t="s">
        <v>-</v>
        <stp/>
        <stp>T&amp;T0</stp>
        <stp>ACP</stp>
        <stp>147</stp>
        <tr r="B150" s="1"/>
      </tp>
      <tp t="s">
        <v>-</v>
        <stp/>
        <stp>T&amp;T0</stp>
        <stp>AGR</stp>
        <stp>105</stp>
        <tr r="F108" s="1"/>
      </tp>
      <tp t="s">
        <v>-</v>
        <stp/>
        <stp>T&amp;T0</stp>
        <stp>DAT</stp>
        <stp>463</stp>
        <tr r="A466" s="1"/>
      </tp>
      <tp t="s">
        <v>-</v>
        <stp/>
        <stp>T&amp;T0</stp>
        <stp>ACP</stp>
        <stp>140</stp>
        <tr r="B143" s="1"/>
      </tp>
      <tp t="s">
        <v>-</v>
        <stp/>
        <stp>T&amp;T0</stp>
        <stp>AGR</stp>
        <stp>102</stp>
        <tr r="F105" s="1"/>
      </tp>
      <tp t="s">
        <v>-</v>
        <stp/>
        <stp>T&amp;T0</stp>
        <stp>DAT</stp>
        <stp>464</stp>
        <tr r="A467" s="1"/>
      </tp>
      <tp t="s">
        <v>-</v>
        <stp/>
        <stp>T&amp;T0</stp>
        <stp>ACP</stp>
        <stp>141</stp>
        <tr r="B144" s="1"/>
      </tp>
      <tp t="s">
        <v>-</v>
        <stp/>
        <stp>T&amp;T0</stp>
        <stp>AGR</stp>
        <stp>103</stp>
        <tr r="F106" s="1"/>
      </tp>
      <tp t="s">
        <v>-</v>
        <stp/>
        <stp>T&amp;T0</stp>
        <stp>DAT</stp>
        <stp>465</stp>
        <tr r="A468" s="1"/>
      </tp>
      <tp t="s">
        <v>-</v>
        <stp/>
        <stp>T&amp;T0</stp>
        <stp>ACP</stp>
        <stp>142</stp>
        <tr r="B145" s="1"/>
      </tp>
      <tp t="s">
        <v>-</v>
        <stp/>
        <stp>T&amp;T0</stp>
        <stp>AGR</stp>
        <stp>100</stp>
        <tr r="F103" s="1"/>
      </tp>
      <tp t="s">
        <v>-</v>
        <stp/>
        <stp>T&amp;T0</stp>
        <stp>DAT</stp>
        <stp>466</stp>
        <tr r="A469" s="1"/>
      </tp>
      <tp t="s">
        <v>-</v>
        <stp/>
        <stp>T&amp;T0</stp>
        <stp>ACP</stp>
        <stp>143</stp>
        <tr r="B146" s="1"/>
      </tp>
      <tp t="s">
        <v>-</v>
        <stp/>
        <stp>T&amp;T0</stp>
        <stp>AGR</stp>
        <stp>101</stp>
        <tr r="F104" s="1"/>
      </tp>
      <tp t="s">
        <v>-</v>
        <stp/>
        <stp>T&amp;T0</stp>
        <stp>DAT</stp>
        <stp>467</stp>
        <tr r="A470" s="1"/>
      </tp>
      <tp t="s">
        <v>-</v>
        <stp/>
        <stp>T&amp;T0</stp>
        <stp>DAT</stp>
        <stp>468</stp>
        <tr r="A471" s="1"/>
      </tp>
      <tp t="s">
        <v>-</v>
        <stp/>
        <stp>T&amp;T0</stp>
        <stp>DAT</stp>
        <stp>469</stp>
        <tr r="A472" s="1"/>
      </tp>
      <tp t="s">
        <v>-</v>
        <stp/>
        <stp>T&amp;T0</stp>
        <stp>ACP</stp>
        <stp>148</stp>
        <tr r="B151" s="1"/>
      </tp>
      <tp t="s">
        <v>-</v>
        <stp/>
        <stp>T&amp;T0</stp>
        <stp>ACP</stp>
        <stp>149</stp>
        <tr r="B152" s="1"/>
      </tp>
      <tp t="s">
        <v>-</v>
        <stp/>
        <stp>T&amp;T0</stp>
        <stp>AGR</stp>
        <stp>108</stp>
        <tr r="F111" s="1"/>
      </tp>
      <tp t="s">
        <v>-</v>
        <stp/>
        <stp>T&amp;T0</stp>
        <stp>AGR</stp>
        <stp>109</stp>
        <tr r="F112" s="1"/>
      </tp>
      <tp t="s">
        <v>-</v>
        <stp/>
        <stp>T&amp;T0</stp>
        <stp>ACP</stp>
        <stp>134</stp>
        <tr r="B137" s="1"/>
      </tp>
      <tp t="s">
        <v>-</v>
        <stp/>
        <stp>T&amp;T0</stp>
        <stp>AGR</stp>
        <stp>176</stp>
        <tr r="F179" s="1"/>
      </tp>
      <tp t="s">
        <v>-</v>
        <stp/>
        <stp>T&amp;T0</stp>
        <stp>DAT</stp>
        <stp>410</stp>
        <tr r="A413" s="1"/>
      </tp>
      <tp t="s">
        <v>-</v>
        <stp/>
        <stp>T&amp;T0</stp>
        <stp>ACP</stp>
        <stp>135</stp>
        <tr r="B138" s="1"/>
      </tp>
      <tp t="s">
        <v>-</v>
        <stp/>
        <stp>T&amp;T0</stp>
        <stp>AGR</stp>
        <stp>177</stp>
        <tr r="F180" s="1"/>
      </tp>
      <tp t="s">
        <v>-</v>
        <stp/>
        <stp>T&amp;T0</stp>
        <stp>DAT</stp>
        <stp>411</stp>
        <tr r="A414" s="1"/>
      </tp>
      <tp t="s">
        <v>-</v>
        <stp/>
        <stp>T&amp;T0</stp>
        <stp>ACP</stp>
        <stp>136</stp>
        <tr r="B139" s="1"/>
      </tp>
      <tp t="s">
        <v>-</v>
        <stp/>
        <stp>T&amp;T0</stp>
        <stp>AGR</stp>
        <stp>174</stp>
        <tr r="F177" s="1"/>
      </tp>
      <tp t="s">
        <v>-</v>
        <stp/>
        <stp>T&amp;T0</stp>
        <stp>DAT</stp>
        <stp>412</stp>
        <tr r="A415" s="1"/>
      </tp>
      <tp t="s">
        <v>-</v>
        <stp/>
        <stp>T&amp;T0</stp>
        <stp>ACP</stp>
        <stp>137</stp>
        <tr r="B140" s="1"/>
      </tp>
      <tp t="s">
        <v>-</v>
        <stp/>
        <stp>T&amp;T0</stp>
        <stp>AGR</stp>
        <stp>175</stp>
        <tr r="F178" s="1"/>
      </tp>
      <tp t="s">
        <v>-</v>
        <stp/>
        <stp>T&amp;T0</stp>
        <stp>DAT</stp>
        <stp>413</stp>
        <tr r="A416" s="1"/>
      </tp>
      <tp t="s">
        <v>-</v>
        <stp/>
        <stp>T&amp;T0</stp>
        <stp>ACP</stp>
        <stp>130</stp>
        <tr r="B133" s="1"/>
      </tp>
      <tp t="s">
        <v>-</v>
        <stp/>
        <stp>T&amp;T0</stp>
        <stp>AGR</stp>
        <stp>172</stp>
        <tr r="F175" s="1"/>
      </tp>
      <tp t="s">
        <v>-</v>
        <stp/>
        <stp>T&amp;T0</stp>
        <stp>DAT</stp>
        <stp>414</stp>
        <tr r="A417" s="1"/>
      </tp>
      <tp t="s">
        <v>-</v>
        <stp/>
        <stp>T&amp;T0</stp>
        <stp>ACP</stp>
        <stp>131</stp>
        <tr r="B134" s="1"/>
      </tp>
      <tp t="s">
        <v>-</v>
        <stp/>
        <stp>T&amp;T0</stp>
        <stp>AGR</stp>
        <stp>173</stp>
        <tr r="F176" s="1"/>
      </tp>
      <tp t="s">
        <v>-</v>
        <stp/>
        <stp>T&amp;T0</stp>
        <stp>DAT</stp>
        <stp>415</stp>
        <tr r="A418" s="1"/>
      </tp>
      <tp t="s">
        <v>-</v>
        <stp/>
        <stp>T&amp;T0</stp>
        <stp>ACP</stp>
        <stp>132</stp>
        <tr r="B135" s="1"/>
      </tp>
      <tp t="s">
        <v>-</v>
        <stp/>
        <stp>T&amp;T0</stp>
        <stp>AGR</stp>
        <stp>170</stp>
        <tr r="F173" s="1"/>
      </tp>
      <tp t="s">
        <v>-</v>
        <stp/>
        <stp>T&amp;T0</stp>
        <stp>DAT</stp>
        <stp>416</stp>
        <tr r="A419" s="1"/>
      </tp>
      <tp t="s">
        <v>-</v>
        <stp/>
        <stp>T&amp;T0</stp>
        <stp>ACP</stp>
        <stp>133</stp>
        <tr r="B136" s="1"/>
      </tp>
      <tp t="s">
        <v>-</v>
        <stp/>
        <stp>T&amp;T0</stp>
        <stp>AGR</stp>
        <stp>171</stp>
        <tr r="F174" s="1"/>
      </tp>
      <tp t="s">
        <v>-</v>
        <stp/>
        <stp>T&amp;T0</stp>
        <stp>DAT</stp>
        <stp>417</stp>
        <tr r="A420" s="1"/>
      </tp>
      <tp t="s">
        <v>-</v>
        <stp/>
        <stp>T&amp;T0</stp>
        <stp>DAT</stp>
        <stp>418</stp>
        <tr r="A421" s="1"/>
      </tp>
      <tp t="s">
        <v>-</v>
        <stp/>
        <stp>T&amp;T0</stp>
        <stp>DAT</stp>
        <stp>419</stp>
        <tr r="A422" s="1"/>
      </tp>
      <tp t="s">
        <v>-</v>
        <stp/>
        <stp>T&amp;T0</stp>
        <stp>ACP</stp>
        <stp>138</stp>
        <tr r="B141" s="1"/>
      </tp>
      <tp t="s">
        <v>-</v>
        <stp/>
        <stp>T&amp;T0</stp>
        <stp>ACP</stp>
        <stp>139</stp>
        <tr r="B142" s="1"/>
      </tp>
      <tp t="s">
        <v>-</v>
        <stp/>
        <stp>T&amp;T0</stp>
        <stp>AGR</stp>
        <stp>178</stp>
        <tr r="F181" s="1"/>
      </tp>
      <tp t="s">
        <v>-</v>
        <stp/>
        <stp>T&amp;T0</stp>
        <stp>AGR</stp>
        <stp>179</stp>
        <tr r="F182" s="1"/>
      </tp>
      <tp t="s">
        <v>-</v>
        <stp/>
        <stp>T&amp;T0</stp>
        <stp>ACP</stp>
        <stp>124</stp>
        <tr r="B127" s="1"/>
      </tp>
      <tp t="s">
        <v>-</v>
        <stp/>
        <stp>T&amp;T0</stp>
        <stp>AGR</stp>
        <stp>166</stp>
        <tr r="F169" s="1"/>
      </tp>
      <tp t="s">
        <v>-</v>
        <stp/>
        <stp>T&amp;T0</stp>
        <stp>DAT</stp>
        <stp>400</stp>
        <tr r="A403" s="1"/>
      </tp>
      <tp t="s">
        <v>-</v>
        <stp/>
        <stp>T&amp;T0</stp>
        <stp>ACP</stp>
        <stp>125</stp>
        <tr r="B128" s="1"/>
      </tp>
      <tp t="s">
        <v>-</v>
        <stp/>
        <stp>T&amp;T0</stp>
        <stp>AGR</stp>
        <stp>167</stp>
        <tr r="F170" s="1"/>
      </tp>
      <tp t="s">
        <v>-</v>
        <stp/>
        <stp>T&amp;T0</stp>
        <stp>DAT</stp>
        <stp>401</stp>
        <tr r="A404" s="1"/>
      </tp>
      <tp t="s">
        <v>-</v>
        <stp/>
        <stp>T&amp;T0</stp>
        <stp>ACP</stp>
        <stp>126</stp>
        <tr r="B129" s="1"/>
      </tp>
      <tp t="s">
        <v>-</v>
        <stp/>
        <stp>T&amp;T0</stp>
        <stp>AGR</stp>
        <stp>164</stp>
        <tr r="F167" s="1"/>
      </tp>
      <tp t="s">
        <v>-</v>
        <stp/>
        <stp>T&amp;T0</stp>
        <stp>DAT</stp>
        <stp>402</stp>
        <tr r="A405" s="1"/>
      </tp>
      <tp t="s">
        <v>-</v>
        <stp/>
        <stp>T&amp;T0</stp>
        <stp>ACP</stp>
        <stp>127</stp>
        <tr r="B130" s="1"/>
      </tp>
      <tp t="s">
        <v>-</v>
        <stp/>
        <stp>T&amp;T0</stp>
        <stp>AGR</stp>
        <stp>165</stp>
        <tr r="F168" s="1"/>
      </tp>
      <tp t="s">
        <v>-</v>
        <stp/>
        <stp>T&amp;T0</stp>
        <stp>DAT</stp>
        <stp>403</stp>
        <tr r="A406" s="1"/>
      </tp>
      <tp t="s">
        <v>-</v>
        <stp/>
        <stp>T&amp;T0</stp>
        <stp>ACP</stp>
        <stp>120</stp>
        <tr r="B123" s="1"/>
      </tp>
      <tp t="s">
        <v>-</v>
        <stp/>
        <stp>T&amp;T0</stp>
        <stp>AGR</stp>
        <stp>162</stp>
        <tr r="F165" s="1"/>
      </tp>
      <tp t="s">
        <v>-</v>
        <stp/>
        <stp>T&amp;T0</stp>
        <stp>DAT</stp>
        <stp>404</stp>
        <tr r="A407" s="1"/>
      </tp>
      <tp t="s">
        <v>-</v>
        <stp/>
        <stp>T&amp;T0</stp>
        <stp>ACP</stp>
        <stp>121</stp>
        <tr r="B124" s="1"/>
      </tp>
      <tp t="s">
        <v>-</v>
        <stp/>
        <stp>T&amp;T0</stp>
        <stp>AGR</stp>
        <stp>163</stp>
        <tr r="F166" s="1"/>
      </tp>
      <tp t="s">
        <v>-</v>
        <stp/>
        <stp>T&amp;T0</stp>
        <stp>DAT</stp>
        <stp>405</stp>
        <tr r="A408" s="1"/>
      </tp>
      <tp t="s">
        <v>-</v>
        <stp/>
        <stp>T&amp;T0</stp>
        <stp>ACP</stp>
        <stp>122</stp>
        <tr r="B125" s="1"/>
      </tp>
      <tp t="s">
        <v>-</v>
        <stp/>
        <stp>T&amp;T0</stp>
        <stp>AGR</stp>
        <stp>160</stp>
        <tr r="F163" s="1"/>
      </tp>
      <tp t="s">
        <v>-</v>
        <stp/>
        <stp>T&amp;T0</stp>
        <stp>DAT</stp>
        <stp>406</stp>
        <tr r="A409" s="1"/>
      </tp>
      <tp t="s">
        <v>-</v>
        <stp/>
        <stp>T&amp;T0</stp>
        <stp>ACP</stp>
        <stp>123</stp>
        <tr r="B126" s="1"/>
      </tp>
      <tp t="s">
        <v>-</v>
        <stp/>
        <stp>T&amp;T0</stp>
        <stp>AGR</stp>
        <stp>161</stp>
        <tr r="F164" s="1"/>
      </tp>
      <tp t="s">
        <v>-</v>
        <stp/>
        <stp>T&amp;T0</stp>
        <stp>DAT</stp>
        <stp>407</stp>
        <tr r="A410" s="1"/>
      </tp>
      <tp t="s">
        <v>-</v>
        <stp/>
        <stp>T&amp;T0</stp>
        <stp>DAT</stp>
        <stp>408</stp>
        <tr r="A411" s="1"/>
      </tp>
      <tp t="s">
        <v>-</v>
        <stp/>
        <stp>T&amp;T0</stp>
        <stp>DAT</stp>
        <stp>409</stp>
        <tr r="A412" s="1"/>
      </tp>
      <tp t="s">
        <v>-</v>
        <stp/>
        <stp>T&amp;T0</stp>
        <stp>ACP</stp>
        <stp>128</stp>
        <tr r="B131" s="1"/>
      </tp>
      <tp t="s">
        <v>-</v>
        <stp/>
        <stp>T&amp;T0</stp>
        <stp>ACP</stp>
        <stp>129</stp>
        <tr r="B132" s="1"/>
      </tp>
      <tp t="s">
        <v>-</v>
        <stp/>
        <stp>T&amp;T0</stp>
        <stp>AGR</stp>
        <stp>168</stp>
        <tr r="F171" s="1"/>
      </tp>
      <tp t="s">
        <v>-</v>
        <stp/>
        <stp>T&amp;T0</stp>
        <stp>AGR</stp>
        <stp>169</stp>
        <tr r="F172" s="1"/>
      </tp>
      <tp t="s">
        <v>-</v>
        <stp/>
        <stp>T&amp;T0</stp>
        <stp>ACP</stp>
        <stp>114</stp>
        <tr r="B117" s="1"/>
      </tp>
      <tp t="s">
        <v>-</v>
        <stp/>
        <stp>T&amp;T0</stp>
        <stp>AGR</stp>
        <stp>156</stp>
        <tr r="F159" s="1"/>
      </tp>
      <tp t="s">
        <v>-</v>
        <stp/>
        <stp>T&amp;T0</stp>
        <stp>DAT</stp>
        <stp>430</stp>
        <tr r="A433" s="1"/>
      </tp>
      <tp t="s">
        <v>-</v>
        <stp/>
        <stp>T&amp;T0</stp>
        <stp>ACP</stp>
        <stp>115</stp>
        <tr r="B118" s="1"/>
      </tp>
      <tp t="s">
        <v>-</v>
        <stp/>
        <stp>T&amp;T0</stp>
        <stp>AGR</stp>
        <stp>157</stp>
        <tr r="F160" s="1"/>
      </tp>
      <tp t="s">
        <v>-</v>
        <stp/>
        <stp>T&amp;T0</stp>
        <stp>DAT</stp>
        <stp>431</stp>
        <tr r="A434" s="1"/>
      </tp>
      <tp t="s">
        <v>-</v>
        <stp/>
        <stp>T&amp;T0</stp>
        <stp>ACP</stp>
        <stp>116</stp>
        <tr r="B119" s="1"/>
      </tp>
      <tp t="s">
        <v>-</v>
        <stp/>
        <stp>T&amp;T0</stp>
        <stp>AGR</stp>
        <stp>154</stp>
        <tr r="F157" s="1"/>
      </tp>
      <tp t="s">
        <v>-</v>
        <stp/>
        <stp>T&amp;T0</stp>
        <stp>DAT</stp>
        <stp>432</stp>
        <tr r="A435" s="1"/>
      </tp>
      <tp t="s">
        <v>-</v>
        <stp/>
        <stp>T&amp;T0</stp>
        <stp>ACP</stp>
        <stp>117</stp>
        <tr r="B120" s="1"/>
      </tp>
      <tp t="s">
        <v>-</v>
        <stp/>
        <stp>T&amp;T0</stp>
        <stp>AGR</stp>
        <stp>155</stp>
        <tr r="F158" s="1"/>
      </tp>
      <tp t="s">
        <v>-</v>
        <stp/>
        <stp>T&amp;T0</stp>
        <stp>DAT</stp>
        <stp>433</stp>
        <tr r="A436" s="1"/>
      </tp>
      <tp t="s">
        <v>-</v>
        <stp/>
        <stp>T&amp;T0</stp>
        <stp>ACP</stp>
        <stp>110</stp>
        <tr r="B113" s="1"/>
      </tp>
      <tp t="s">
        <v>-</v>
        <stp/>
        <stp>T&amp;T0</stp>
        <stp>AGR</stp>
        <stp>152</stp>
        <tr r="F155" s="1"/>
      </tp>
      <tp t="s">
        <v>-</v>
        <stp/>
        <stp>T&amp;T0</stp>
        <stp>DAT</stp>
        <stp>434</stp>
        <tr r="A437" s="1"/>
      </tp>
      <tp t="s">
        <v>-</v>
        <stp/>
        <stp>T&amp;T0</stp>
        <stp>ACP</stp>
        <stp>111</stp>
        <tr r="B114" s="1"/>
      </tp>
      <tp t="s">
        <v>-</v>
        <stp/>
        <stp>T&amp;T0</stp>
        <stp>AGR</stp>
        <stp>153</stp>
        <tr r="F156" s="1"/>
      </tp>
      <tp t="s">
        <v>-</v>
        <stp/>
        <stp>T&amp;T0</stp>
        <stp>DAT</stp>
        <stp>435</stp>
        <tr r="A438" s="1"/>
      </tp>
      <tp t="s">
        <v>-</v>
        <stp/>
        <stp>T&amp;T0</stp>
        <stp>ACP</stp>
        <stp>112</stp>
        <tr r="B115" s="1"/>
      </tp>
      <tp t="s">
        <v>-</v>
        <stp/>
        <stp>T&amp;T0</stp>
        <stp>AGR</stp>
        <stp>150</stp>
        <tr r="F153" s="1"/>
      </tp>
      <tp t="s">
        <v>-</v>
        <stp/>
        <stp>T&amp;T0</stp>
        <stp>DAT</stp>
        <stp>436</stp>
        <tr r="A439" s="1"/>
      </tp>
      <tp t="s">
        <v>-</v>
        <stp/>
        <stp>T&amp;T0</stp>
        <stp>ACP</stp>
        <stp>113</stp>
        <tr r="B116" s="1"/>
      </tp>
      <tp t="s">
        <v>-</v>
        <stp/>
        <stp>T&amp;T0</stp>
        <stp>AGR</stp>
        <stp>151</stp>
        <tr r="F154" s="1"/>
      </tp>
      <tp t="s">
        <v>-</v>
        <stp/>
        <stp>T&amp;T0</stp>
        <stp>DAT</stp>
        <stp>437</stp>
        <tr r="A440" s="1"/>
      </tp>
      <tp t="s">
        <v>-</v>
        <stp/>
        <stp>T&amp;T0</stp>
        <stp>DAT</stp>
        <stp>438</stp>
        <tr r="A441" s="1"/>
      </tp>
      <tp t="s">
        <v>-</v>
        <stp/>
        <stp>T&amp;T0</stp>
        <stp>DAT</stp>
        <stp>439</stp>
        <tr r="A442" s="1"/>
      </tp>
      <tp t="s">
        <v>-</v>
        <stp/>
        <stp>T&amp;T0</stp>
        <stp>ACP</stp>
        <stp>118</stp>
        <tr r="B121" s="1"/>
      </tp>
      <tp t="s">
        <v>-</v>
        <stp/>
        <stp>T&amp;T0</stp>
        <stp>ACP</stp>
        <stp>119</stp>
        <tr r="B122" s="1"/>
      </tp>
      <tp t="s">
        <v>-</v>
        <stp/>
        <stp>T&amp;T0</stp>
        <stp>AGR</stp>
        <stp>158</stp>
        <tr r="F161" s="1"/>
      </tp>
      <tp t="s">
        <v>-</v>
        <stp/>
        <stp>T&amp;T0</stp>
        <stp>AGR</stp>
        <stp>159</stp>
        <tr r="F162" s="1"/>
      </tp>
      <tp t="s">
        <v>-</v>
        <stp/>
        <stp>T&amp;T0</stp>
        <stp>ACP</stp>
        <stp>104</stp>
        <tr r="B107" s="1"/>
      </tp>
      <tp t="s">
        <v>-</v>
        <stp/>
        <stp>T&amp;T0</stp>
        <stp>AGR</stp>
        <stp>146</stp>
        <tr r="F149" s="1"/>
      </tp>
      <tp t="s">
        <v>-</v>
        <stp/>
        <stp>T&amp;T0</stp>
        <stp>DAT</stp>
        <stp>420</stp>
        <tr r="A423" s="1"/>
      </tp>
      <tp t="s">
        <v>-</v>
        <stp/>
        <stp>T&amp;T0</stp>
        <stp>ACP</stp>
        <stp>105</stp>
        <tr r="B108" s="1"/>
      </tp>
      <tp t="s">
        <v>-</v>
        <stp/>
        <stp>T&amp;T0</stp>
        <stp>AGR</stp>
        <stp>147</stp>
        <tr r="F150" s="1"/>
      </tp>
      <tp t="s">
        <v>-</v>
        <stp/>
        <stp>T&amp;T0</stp>
        <stp>DAT</stp>
        <stp>421</stp>
        <tr r="A424" s="1"/>
      </tp>
      <tp t="s">
        <v>-</v>
        <stp/>
        <stp>T&amp;T0</stp>
        <stp>ACP</stp>
        <stp>106</stp>
        <tr r="B109" s="1"/>
      </tp>
      <tp t="s">
        <v>-</v>
        <stp/>
        <stp>T&amp;T0</stp>
        <stp>AGR</stp>
        <stp>144</stp>
        <tr r="F147" s="1"/>
      </tp>
      <tp t="s">
        <v>-</v>
        <stp/>
        <stp>T&amp;T0</stp>
        <stp>DAT</stp>
        <stp>422</stp>
        <tr r="A425" s="1"/>
      </tp>
      <tp t="s">
        <v>-</v>
        <stp/>
        <stp>T&amp;T0</stp>
        <stp>ACP</stp>
        <stp>107</stp>
        <tr r="B110" s="1"/>
      </tp>
      <tp t="s">
        <v>-</v>
        <stp/>
        <stp>T&amp;T0</stp>
        <stp>AGR</stp>
        <stp>145</stp>
        <tr r="F148" s="1"/>
      </tp>
      <tp t="s">
        <v>-</v>
        <stp/>
        <stp>T&amp;T0</stp>
        <stp>DAT</stp>
        <stp>423</stp>
        <tr r="A426" s="1"/>
      </tp>
      <tp t="s">
        <v>-</v>
        <stp/>
        <stp>T&amp;T0</stp>
        <stp>ACP</stp>
        <stp>100</stp>
        <tr r="B103" s="1"/>
      </tp>
      <tp t="s">
        <v>-</v>
        <stp/>
        <stp>T&amp;T0</stp>
        <stp>AGR</stp>
        <stp>142</stp>
        <tr r="F145" s="1"/>
      </tp>
      <tp t="s">
        <v>-</v>
        <stp/>
        <stp>T&amp;T0</stp>
        <stp>DAT</stp>
        <stp>424</stp>
        <tr r="A427" s="1"/>
      </tp>
      <tp t="s">
        <v>-</v>
        <stp/>
        <stp>T&amp;T0</stp>
        <stp>ACP</stp>
        <stp>101</stp>
        <tr r="B104" s="1"/>
      </tp>
      <tp t="s">
        <v>-</v>
        <stp/>
        <stp>T&amp;T0</stp>
        <stp>AGR</stp>
        <stp>143</stp>
        <tr r="F146" s="1"/>
      </tp>
      <tp t="s">
        <v>-</v>
        <stp/>
        <stp>T&amp;T0</stp>
        <stp>DAT</stp>
        <stp>425</stp>
        <tr r="A428" s="1"/>
      </tp>
      <tp t="s">
        <v>-</v>
        <stp/>
        <stp>T&amp;T0</stp>
        <stp>ACP</stp>
        <stp>102</stp>
        <tr r="B105" s="1"/>
      </tp>
      <tp t="s">
        <v>-</v>
        <stp/>
        <stp>T&amp;T0</stp>
        <stp>AGR</stp>
        <stp>140</stp>
        <tr r="F143" s="1"/>
      </tp>
      <tp t="s">
        <v>-</v>
        <stp/>
        <stp>T&amp;T0</stp>
        <stp>DAT</stp>
        <stp>426</stp>
        <tr r="A429" s="1"/>
      </tp>
      <tp t="s">
        <v>-</v>
        <stp/>
        <stp>T&amp;T0</stp>
        <stp>ACP</stp>
        <stp>103</stp>
        <tr r="B106" s="1"/>
      </tp>
      <tp t="s">
        <v>-</v>
        <stp/>
        <stp>T&amp;T0</stp>
        <stp>AGR</stp>
        <stp>141</stp>
        <tr r="F144" s="1"/>
      </tp>
      <tp t="s">
        <v>-</v>
        <stp/>
        <stp>T&amp;T0</stp>
        <stp>DAT</stp>
        <stp>427</stp>
        <tr r="A430" s="1"/>
      </tp>
      <tp t="s">
        <v>-</v>
        <stp/>
        <stp>T&amp;T0</stp>
        <stp>DAT</stp>
        <stp>428</stp>
        <tr r="A431" s="1"/>
      </tp>
      <tp t="s">
        <v>-</v>
        <stp/>
        <stp>T&amp;T0</stp>
        <stp>DAT</stp>
        <stp>429</stp>
        <tr r="A432" s="1"/>
      </tp>
      <tp t="s">
        <v>-</v>
        <stp/>
        <stp>T&amp;T0</stp>
        <stp>ACP</stp>
        <stp>108</stp>
        <tr r="B111" s="1"/>
      </tp>
      <tp t="s">
        <v>-</v>
        <stp/>
        <stp>T&amp;T0</stp>
        <stp>ACP</stp>
        <stp>109</stp>
        <tr r="B112" s="1"/>
      </tp>
      <tp t="s">
        <v>-</v>
        <stp/>
        <stp>T&amp;T0</stp>
        <stp>AGR</stp>
        <stp>148</stp>
        <tr r="F151" s="1"/>
      </tp>
      <tp t="s">
        <v>-</v>
        <stp/>
        <stp>T&amp;T0</stp>
        <stp>AGR</stp>
        <stp>149</stp>
        <tr r="F152" s="1"/>
      </tp>
      <tp t="s">
        <v>-</v>
        <stp/>
        <stp>T&amp;T0</stp>
        <stp>AVD</stp>
        <stp>180</stp>
        <tr r="E183" s="1"/>
      </tp>
      <tp t="s">
        <v>-</v>
        <stp/>
        <stp>T&amp;T0</stp>
        <stp>AVD</stp>
        <stp>181</stp>
        <tr r="E184" s="1"/>
      </tp>
      <tp t="s">
        <v>-</v>
        <stp/>
        <stp>T&amp;T0</stp>
        <stp>AVD</stp>
        <stp>182</stp>
        <tr r="E185" s="1"/>
      </tp>
      <tp t="s">
        <v>-</v>
        <stp/>
        <stp>T&amp;T0</stp>
        <stp>AVD</stp>
        <stp>183</stp>
        <tr r="E186" s="1"/>
      </tp>
      <tp t="s">
        <v>-</v>
        <stp/>
        <stp>T&amp;T0</stp>
        <stp>AVD</stp>
        <stp>184</stp>
        <tr r="E187" s="1"/>
      </tp>
      <tp t="s">
        <v>-</v>
        <stp/>
        <stp>T&amp;T0</stp>
        <stp>AVD</stp>
        <stp>185</stp>
        <tr r="E188" s="1"/>
      </tp>
      <tp t="s">
        <v>-</v>
        <stp/>
        <stp>T&amp;T0</stp>
        <stp>AVD</stp>
        <stp>186</stp>
        <tr r="E189" s="1"/>
      </tp>
      <tp t="s">
        <v>-</v>
        <stp/>
        <stp>T&amp;T0</stp>
        <stp>AVD</stp>
        <stp>187</stp>
        <tr r="E190" s="1"/>
      </tp>
      <tp t="s">
        <v>-</v>
        <stp/>
        <stp>T&amp;T0</stp>
        <stp>AVD</stp>
        <stp>188</stp>
        <tr r="E191" s="1"/>
      </tp>
      <tp t="s">
        <v>-</v>
        <stp/>
        <stp>T&amp;T0</stp>
        <stp>AVD</stp>
        <stp>189</stp>
        <tr r="E192" s="1"/>
      </tp>
      <tp t="s">
        <v>-</v>
        <stp/>
        <stp>T&amp;T0</stp>
        <stp>AVD</stp>
        <stp>190</stp>
        <tr r="E193" s="1"/>
      </tp>
      <tp t="s">
        <v>-</v>
        <stp/>
        <stp>T&amp;T0</stp>
        <stp>AVD</stp>
        <stp>191</stp>
        <tr r="E194" s="1"/>
      </tp>
      <tp t="s">
        <v>-</v>
        <stp/>
        <stp>T&amp;T0</stp>
        <stp>AVD</stp>
        <stp>192</stp>
        <tr r="E195" s="1"/>
      </tp>
      <tp t="s">
        <v>-</v>
        <stp/>
        <stp>T&amp;T0</stp>
        <stp>AVD</stp>
        <stp>193</stp>
        <tr r="E196" s="1"/>
      </tp>
      <tp t="s">
        <v>-</v>
        <stp/>
        <stp>T&amp;T0</stp>
        <stp>AVD</stp>
        <stp>194</stp>
        <tr r="E197" s="1"/>
      </tp>
      <tp t="s">
        <v>-</v>
        <stp/>
        <stp>T&amp;T0</stp>
        <stp>AVD</stp>
        <stp>195</stp>
        <tr r="E198" s="1"/>
      </tp>
      <tp t="s">
        <v>-</v>
        <stp/>
        <stp>T&amp;T0</stp>
        <stp>AVD</stp>
        <stp>196</stp>
        <tr r="E199" s="1"/>
      </tp>
      <tp t="s">
        <v>-</v>
        <stp/>
        <stp>T&amp;T0</stp>
        <stp>AVD</stp>
        <stp>197</stp>
        <tr r="E200" s="1"/>
      </tp>
      <tp t="s">
        <v>-</v>
        <stp/>
        <stp>T&amp;T0</stp>
        <stp>AVD</stp>
        <stp>198</stp>
        <tr r="E201" s="1"/>
      </tp>
      <tp t="s">
        <v>-</v>
        <stp/>
        <stp>T&amp;T0</stp>
        <stp>AVD</stp>
        <stp>199</stp>
        <tr r="E202" s="1"/>
      </tp>
      <tp t="s">
        <v>-</v>
        <stp/>
        <stp>T&amp;T0</stp>
        <stp>AVD</stp>
        <stp>120</stp>
        <tr r="E123" s="1"/>
      </tp>
      <tp t="s">
        <v>-</v>
        <stp/>
        <stp>T&amp;T0</stp>
        <stp>AVD</stp>
        <stp>121</stp>
        <tr r="E124" s="1"/>
      </tp>
      <tp t="s">
        <v>-</v>
        <stp/>
        <stp>T&amp;T0</stp>
        <stp>AVD</stp>
        <stp>122</stp>
        <tr r="E125" s="1"/>
      </tp>
      <tp t="s">
        <v>-</v>
        <stp/>
        <stp>T&amp;T0</stp>
        <stp>AVD</stp>
        <stp>123</stp>
        <tr r="E126" s="1"/>
      </tp>
      <tp t="s">
        <v>-</v>
        <stp/>
        <stp>T&amp;T0</stp>
        <stp>AVD</stp>
        <stp>124</stp>
        <tr r="E127" s="1"/>
      </tp>
      <tp t="s">
        <v>-</v>
        <stp/>
        <stp>T&amp;T0</stp>
        <stp>AVD</stp>
        <stp>125</stp>
        <tr r="E128" s="1"/>
      </tp>
      <tp t="s">
        <v>-</v>
        <stp/>
        <stp>T&amp;T0</stp>
        <stp>AVD</stp>
        <stp>126</stp>
        <tr r="E129" s="1"/>
      </tp>
      <tp t="s">
        <v>-</v>
        <stp/>
        <stp>T&amp;T0</stp>
        <stp>AVD</stp>
        <stp>127</stp>
        <tr r="E130" s="1"/>
      </tp>
      <tp t="s">
        <v>-</v>
        <stp/>
        <stp>T&amp;T0</stp>
        <stp>AVD</stp>
        <stp>128</stp>
        <tr r="E131" s="1"/>
      </tp>
      <tp t="s">
        <v>-</v>
        <stp/>
        <stp>T&amp;T0</stp>
        <stp>AVD</stp>
        <stp>129</stp>
        <tr r="E132" s="1"/>
      </tp>
      <tp t="s">
        <v>-</v>
        <stp/>
        <stp>T&amp;T0</stp>
        <stp>AVD</stp>
        <stp>130</stp>
        <tr r="E133" s="1"/>
      </tp>
      <tp t="s">
        <v>-</v>
        <stp/>
        <stp>T&amp;T0</stp>
        <stp>AVD</stp>
        <stp>131</stp>
        <tr r="E134" s="1"/>
      </tp>
      <tp t="s">
        <v>-</v>
        <stp/>
        <stp>T&amp;T0</stp>
        <stp>AVD</stp>
        <stp>132</stp>
        <tr r="E135" s="1"/>
      </tp>
      <tp t="s">
        <v>-</v>
        <stp/>
        <stp>T&amp;T0</stp>
        <stp>AVD</stp>
        <stp>133</stp>
        <tr r="E136" s="1"/>
      </tp>
      <tp t="s">
        <v>-</v>
        <stp/>
        <stp>T&amp;T0</stp>
        <stp>AVD</stp>
        <stp>134</stp>
        <tr r="E137" s="1"/>
      </tp>
      <tp t="s">
        <v>-</v>
        <stp/>
        <stp>T&amp;T0</stp>
        <stp>AVD</stp>
        <stp>135</stp>
        <tr r="E138" s="1"/>
      </tp>
      <tp t="s">
        <v>-</v>
        <stp/>
        <stp>T&amp;T0</stp>
        <stp>AVD</stp>
        <stp>136</stp>
        <tr r="E139" s="1"/>
      </tp>
      <tp t="s">
        <v>-</v>
        <stp/>
        <stp>T&amp;T0</stp>
        <stp>AVD</stp>
        <stp>137</stp>
        <tr r="E140" s="1"/>
      </tp>
      <tp t="s">
        <v>-</v>
        <stp/>
        <stp>T&amp;T0</stp>
        <stp>AVD</stp>
        <stp>138</stp>
        <tr r="E141" s="1"/>
      </tp>
      <tp t="s">
        <v>-</v>
        <stp/>
        <stp>T&amp;T0</stp>
        <stp>AVD</stp>
        <stp>139</stp>
        <tr r="E142" s="1"/>
      </tp>
      <tp t="s">
        <v>-</v>
        <stp/>
        <stp>T&amp;T0</stp>
        <stp>AVD</stp>
        <stp>100</stp>
        <tr r="E103" s="1"/>
      </tp>
      <tp t="s">
        <v>-</v>
        <stp/>
        <stp>T&amp;T0</stp>
        <stp>AVD</stp>
        <stp>101</stp>
        <tr r="E104" s="1"/>
      </tp>
      <tp t="s">
        <v>-</v>
        <stp/>
        <stp>T&amp;T0</stp>
        <stp>AVD</stp>
        <stp>102</stp>
        <tr r="E105" s="1"/>
      </tp>
      <tp t="s">
        <v>-</v>
        <stp/>
        <stp>T&amp;T0</stp>
        <stp>AVD</stp>
        <stp>103</stp>
        <tr r="E106" s="1"/>
      </tp>
      <tp t="s">
        <v>-</v>
        <stp/>
        <stp>T&amp;T0</stp>
        <stp>AVD</stp>
        <stp>104</stp>
        <tr r="E107" s="1"/>
      </tp>
      <tp t="s">
        <v>-</v>
        <stp/>
        <stp>T&amp;T0</stp>
        <stp>AVD</stp>
        <stp>105</stp>
        <tr r="E108" s="1"/>
      </tp>
      <tp t="s">
        <v>-</v>
        <stp/>
        <stp>T&amp;T0</stp>
        <stp>AVD</stp>
        <stp>106</stp>
        <tr r="E109" s="1"/>
      </tp>
      <tp t="s">
        <v>-</v>
        <stp/>
        <stp>T&amp;T0</stp>
        <stp>AVD</stp>
        <stp>107</stp>
        <tr r="E110" s="1"/>
      </tp>
      <tp t="s">
        <v>-</v>
        <stp/>
        <stp>T&amp;T0</stp>
        <stp>AVD</stp>
        <stp>108</stp>
        <tr r="E111" s="1"/>
      </tp>
      <tp t="s">
        <v>-</v>
        <stp/>
        <stp>T&amp;T0</stp>
        <stp>AVD</stp>
        <stp>109</stp>
        <tr r="E112" s="1"/>
      </tp>
      <tp t="s">
        <v>-</v>
        <stp/>
        <stp>T&amp;T0</stp>
        <stp>AVD</stp>
        <stp>110</stp>
        <tr r="E113" s="1"/>
      </tp>
      <tp t="s">
        <v>-</v>
        <stp/>
        <stp>T&amp;T0</stp>
        <stp>AVD</stp>
        <stp>111</stp>
        <tr r="E114" s="1"/>
      </tp>
      <tp t="s">
        <v>-</v>
        <stp/>
        <stp>T&amp;T0</stp>
        <stp>AVD</stp>
        <stp>112</stp>
        <tr r="E115" s="1"/>
      </tp>
      <tp t="s">
        <v>-</v>
        <stp/>
        <stp>T&amp;T0</stp>
        <stp>AVD</stp>
        <stp>113</stp>
        <tr r="E116" s="1"/>
      </tp>
      <tp t="s">
        <v>-</v>
        <stp/>
        <stp>T&amp;T0</stp>
        <stp>AVD</stp>
        <stp>114</stp>
        <tr r="E117" s="1"/>
      </tp>
      <tp t="s">
        <v>-</v>
        <stp/>
        <stp>T&amp;T0</stp>
        <stp>AVD</stp>
        <stp>115</stp>
        <tr r="E118" s="1"/>
      </tp>
      <tp t="s">
        <v>-</v>
        <stp/>
        <stp>T&amp;T0</stp>
        <stp>AVD</stp>
        <stp>116</stp>
        <tr r="E119" s="1"/>
      </tp>
      <tp t="s">
        <v>-</v>
        <stp/>
        <stp>T&amp;T0</stp>
        <stp>AVD</stp>
        <stp>117</stp>
        <tr r="E120" s="1"/>
      </tp>
      <tp t="s">
        <v>-</v>
        <stp/>
        <stp>T&amp;T0</stp>
        <stp>AVD</stp>
        <stp>118</stp>
        <tr r="E121" s="1"/>
      </tp>
      <tp t="s">
        <v>-</v>
        <stp/>
        <stp>T&amp;T0</stp>
        <stp>AVD</stp>
        <stp>119</stp>
        <tr r="E122" s="1"/>
      </tp>
      <tp t="s">
        <v>-</v>
        <stp/>
        <stp>T&amp;T0</stp>
        <stp>AVD</stp>
        <stp>160</stp>
        <tr r="E163" s="1"/>
      </tp>
      <tp t="s">
        <v>-</v>
        <stp/>
        <stp>T&amp;T0</stp>
        <stp>AVD</stp>
        <stp>161</stp>
        <tr r="E164" s="1"/>
      </tp>
      <tp t="s">
        <v>-</v>
        <stp/>
        <stp>T&amp;T0</stp>
        <stp>AVD</stp>
        <stp>162</stp>
        <tr r="E165" s="1"/>
      </tp>
      <tp t="s">
        <v>-</v>
        <stp/>
        <stp>T&amp;T0</stp>
        <stp>AVD</stp>
        <stp>163</stp>
        <tr r="E166" s="1"/>
      </tp>
      <tp t="s">
        <v>-</v>
        <stp/>
        <stp>T&amp;T0</stp>
        <stp>AVD</stp>
        <stp>164</stp>
        <tr r="E167" s="1"/>
      </tp>
      <tp t="s">
        <v>-</v>
        <stp/>
        <stp>T&amp;T0</stp>
        <stp>AVD</stp>
        <stp>165</stp>
        <tr r="E168" s="1"/>
      </tp>
      <tp t="s">
        <v>-</v>
        <stp/>
        <stp>T&amp;T0</stp>
        <stp>AVD</stp>
        <stp>166</stp>
        <tr r="E169" s="1"/>
      </tp>
      <tp t="s">
        <v>-</v>
        <stp/>
        <stp>T&amp;T0</stp>
        <stp>AVD</stp>
        <stp>167</stp>
        <tr r="E170" s="1"/>
      </tp>
      <tp t="s">
        <v>-</v>
        <stp/>
        <stp>T&amp;T0</stp>
        <stp>AVD</stp>
        <stp>168</stp>
        <tr r="E171" s="1"/>
      </tp>
      <tp t="s">
        <v>-</v>
        <stp/>
        <stp>T&amp;T0</stp>
        <stp>AVD</stp>
        <stp>169</stp>
        <tr r="E172" s="1"/>
      </tp>
      <tp t="s">
        <v>-</v>
        <stp/>
        <stp>T&amp;T0</stp>
        <stp>AVD</stp>
        <stp>170</stp>
        <tr r="E173" s="1"/>
      </tp>
      <tp t="s">
        <v>-</v>
        <stp/>
        <stp>T&amp;T0</stp>
        <stp>AVD</stp>
        <stp>171</stp>
        <tr r="E174" s="1"/>
      </tp>
      <tp t="s">
        <v>-</v>
        <stp/>
        <stp>T&amp;T0</stp>
        <stp>AVD</stp>
        <stp>172</stp>
        <tr r="E175" s="1"/>
      </tp>
      <tp t="s">
        <v>-</v>
        <stp/>
        <stp>T&amp;T0</stp>
        <stp>AVD</stp>
        <stp>173</stp>
        <tr r="E176" s="1"/>
      </tp>
      <tp t="s">
        <v>-</v>
        <stp/>
        <stp>T&amp;T0</stp>
        <stp>AVD</stp>
        <stp>174</stp>
        <tr r="E177" s="1"/>
      </tp>
      <tp t="s">
        <v>-</v>
        <stp/>
        <stp>T&amp;T0</stp>
        <stp>AVD</stp>
        <stp>175</stp>
        <tr r="E178" s="1"/>
      </tp>
      <tp t="s">
        <v>-</v>
        <stp/>
        <stp>T&amp;T0</stp>
        <stp>AVD</stp>
        <stp>176</stp>
        <tr r="E179" s="1"/>
      </tp>
      <tp t="s">
        <v>-</v>
        <stp/>
        <stp>T&amp;T0</stp>
        <stp>AVD</stp>
        <stp>177</stp>
        <tr r="E180" s="1"/>
      </tp>
      <tp t="s">
        <v>-</v>
        <stp/>
        <stp>T&amp;T0</stp>
        <stp>AVD</stp>
        <stp>178</stp>
        <tr r="E181" s="1"/>
      </tp>
      <tp t="s">
        <v>-</v>
        <stp/>
        <stp>T&amp;T0</stp>
        <stp>AVD</stp>
        <stp>179</stp>
        <tr r="E182" s="1"/>
      </tp>
      <tp t="s">
        <v>-</v>
        <stp/>
        <stp>T&amp;T0</stp>
        <stp>AVD</stp>
        <stp>140</stp>
        <tr r="E143" s="1"/>
      </tp>
      <tp t="s">
        <v>-</v>
        <stp/>
        <stp>T&amp;T0</stp>
        <stp>AVD</stp>
        <stp>141</stp>
        <tr r="E144" s="1"/>
      </tp>
      <tp t="s">
        <v>-</v>
        <stp/>
        <stp>T&amp;T0</stp>
        <stp>AVD</stp>
        <stp>142</stp>
        <tr r="E145" s="1"/>
      </tp>
      <tp t="s">
        <v>-</v>
        <stp/>
        <stp>T&amp;T0</stp>
        <stp>AVD</stp>
        <stp>143</stp>
        <tr r="E146" s="1"/>
      </tp>
      <tp t="s">
        <v>-</v>
        <stp/>
        <stp>T&amp;T0</stp>
        <stp>AVD</stp>
        <stp>144</stp>
        <tr r="E147" s="1"/>
      </tp>
      <tp t="s">
        <v>-</v>
        <stp/>
        <stp>T&amp;T0</stp>
        <stp>AVD</stp>
        <stp>145</stp>
        <tr r="E148" s="1"/>
      </tp>
      <tp t="s">
        <v>-</v>
        <stp/>
        <stp>T&amp;T0</stp>
        <stp>AVD</stp>
        <stp>146</stp>
        <tr r="E149" s="1"/>
      </tp>
      <tp t="s">
        <v>-</v>
        <stp/>
        <stp>T&amp;T0</stp>
        <stp>AVD</stp>
        <stp>147</stp>
        <tr r="E150" s="1"/>
      </tp>
      <tp t="s">
        <v>-</v>
        <stp/>
        <stp>T&amp;T0</stp>
        <stp>AVD</stp>
        <stp>148</stp>
        <tr r="E151" s="1"/>
      </tp>
      <tp t="s">
        <v>-</v>
        <stp/>
        <stp>T&amp;T0</stp>
        <stp>AVD</stp>
        <stp>149</stp>
        <tr r="E152" s="1"/>
      </tp>
      <tp t="s">
        <v>-</v>
        <stp/>
        <stp>T&amp;T0</stp>
        <stp>AVD</stp>
        <stp>150</stp>
        <tr r="E153" s="1"/>
      </tp>
      <tp t="s">
        <v>-</v>
        <stp/>
        <stp>T&amp;T0</stp>
        <stp>AVD</stp>
        <stp>151</stp>
        <tr r="E154" s="1"/>
      </tp>
      <tp t="s">
        <v>-</v>
        <stp/>
        <stp>T&amp;T0</stp>
        <stp>AVD</stp>
        <stp>152</stp>
        <tr r="E155" s="1"/>
      </tp>
      <tp t="s">
        <v>-</v>
        <stp/>
        <stp>T&amp;T0</stp>
        <stp>AVD</stp>
        <stp>153</stp>
        <tr r="E156" s="1"/>
      </tp>
      <tp t="s">
        <v>-</v>
        <stp/>
        <stp>T&amp;T0</stp>
        <stp>AVD</stp>
        <stp>154</stp>
        <tr r="E157" s="1"/>
      </tp>
      <tp t="s">
        <v>-</v>
        <stp/>
        <stp>T&amp;T0</stp>
        <stp>AVD</stp>
        <stp>155</stp>
        <tr r="E158" s="1"/>
      </tp>
      <tp t="s">
        <v>-</v>
        <stp/>
        <stp>T&amp;T0</stp>
        <stp>AVD</stp>
        <stp>156</stp>
        <tr r="E159" s="1"/>
      </tp>
      <tp t="s">
        <v>-</v>
        <stp/>
        <stp>T&amp;T0</stp>
        <stp>AVD</stp>
        <stp>157</stp>
        <tr r="E160" s="1"/>
      </tp>
      <tp t="s">
        <v>-</v>
        <stp/>
        <stp>T&amp;T0</stp>
        <stp>AVD</stp>
        <stp>158</stp>
        <tr r="E161" s="1"/>
      </tp>
      <tp t="s">
        <v>-</v>
        <stp/>
        <stp>T&amp;T0</stp>
        <stp>AVD</stp>
        <stp>159</stp>
        <tr r="E162" s="1"/>
      </tp>
      <tp t="s">
        <v>-</v>
        <stp/>
        <stp>T&amp;T0</stp>
        <stp>DAT</stp>
        <stp>290</stp>
        <tr r="A293" s="1"/>
      </tp>
      <tp t="s">
        <v>-</v>
        <stp/>
        <stp>T&amp;T0</stp>
        <stp>DAT</stp>
        <stp>291</stp>
        <tr r="A294" s="1"/>
      </tp>
      <tp t="s">
        <v>-</v>
        <stp/>
        <stp>T&amp;T0</stp>
        <stp>DAT</stp>
        <stp>292</stp>
        <tr r="A295" s="1"/>
      </tp>
      <tp t="s">
        <v>-</v>
        <stp/>
        <stp>T&amp;T0</stp>
        <stp>DAT</stp>
        <stp>293</stp>
        <tr r="A296" s="1"/>
      </tp>
      <tp t="s">
        <v>-</v>
        <stp/>
        <stp>T&amp;T0</stp>
        <stp>DAT</stp>
        <stp>294</stp>
        <tr r="A297" s="1"/>
      </tp>
      <tp t="s">
        <v>-</v>
        <stp/>
        <stp>T&amp;T0</stp>
        <stp>DAT</stp>
        <stp>295</stp>
        <tr r="A298" s="1"/>
      </tp>
      <tp t="s">
        <v>-</v>
        <stp/>
        <stp>T&amp;T0</stp>
        <stp>DAT</stp>
        <stp>296</stp>
        <tr r="A299" s="1"/>
      </tp>
      <tp t="s">
        <v>-</v>
        <stp/>
        <stp>T&amp;T0</stp>
        <stp>DAT</stp>
        <stp>297</stp>
        <tr r="A300" s="1"/>
      </tp>
      <tp t="s">
        <v>-</v>
        <stp/>
        <stp>T&amp;T0</stp>
        <stp>DAT</stp>
        <stp>298</stp>
        <tr r="A301" s="1"/>
      </tp>
      <tp t="s">
        <v>-</v>
        <stp/>
        <stp>T&amp;T0</stp>
        <stp>DAT</stp>
        <stp>299</stp>
        <tr r="A302" s="1"/>
      </tp>
      <tp t="s">
        <v>-</v>
        <stp/>
        <stp>T&amp;T0</stp>
        <stp>DAT</stp>
        <stp>280</stp>
        <tr r="A283" s="1"/>
      </tp>
      <tp t="s">
        <v>-</v>
        <stp/>
        <stp>T&amp;T0</stp>
        <stp>DAT</stp>
        <stp>281</stp>
        <tr r="A284" s="1"/>
      </tp>
      <tp t="s">
        <v>-</v>
        <stp/>
        <stp>T&amp;T0</stp>
        <stp>DAT</stp>
        <stp>282</stp>
        <tr r="A285" s="1"/>
      </tp>
      <tp t="s">
        <v>-</v>
        <stp/>
        <stp>T&amp;T0</stp>
        <stp>DAT</stp>
        <stp>283</stp>
        <tr r="A286" s="1"/>
      </tp>
      <tp t="s">
        <v>-</v>
        <stp/>
        <stp>T&amp;T0</stp>
        <stp>DAT</stp>
        <stp>284</stp>
        <tr r="A287" s="1"/>
      </tp>
      <tp t="s">
        <v>-</v>
        <stp/>
        <stp>T&amp;T0</stp>
        <stp>DAT</stp>
        <stp>285</stp>
        <tr r="A288" s="1"/>
      </tp>
      <tp t="s">
        <v>-</v>
        <stp/>
        <stp>T&amp;T0</stp>
        <stp>DAT</stp>
        <stp>286</stp>
        <tr r="A289" s="1"/>
      </tp>
      <tp t="s">
        <v>-</v>
        <stp/>
        <stp>T&amp;T0</stp>
        <stp>DAT</stp>
        <stp>287</stp>
        <tr r="A290" s="1"/>
      </tp>
      <tp t="s">
        <v>-</v>
        <stp/>
        <stp>T&amp;T0</stp>
        <stp>DAT</stp>
        <stp>288</stp>
        <tr r="A291" s="1"/>
      </tp>
      <tp t="s">
        <v>-</v>
        <stp/>
        <stp>T&amp;T0</stp>
        <stp>DAT</stp>
        <stp>289</stp>
        <tr r="A292" s="1"/>
      </tp>
      <tp t="s">
        <v>-</v>
        <stp/>
        <stp>T&amp;T0</stp>
        <stp>DAT</stp>
        <stp>250</stp>
        <tr r="A253" s="1"/>
      </tp>
      <tp t="s">
        <v>-</v>
        <stp/>
        <stp>T&amp;T0</stp>
        <stp>DAT</stp>
        <stp>251</stp>
        <tr r="A254" s="1"/>
      </tp>
      <tp t="s">
        <v>-</v>
        <stp/>
        <stp>T&amp;T0</stp>
        <stp>DAT</stp>
        <stp>252</stp>
        <tr r="A255" s="1"/>
      </tp>
      <tp t="s">
        <v>-</v>
        <stp/>
        <stp>T&amp;T0</stp>
        <stp>DAT</stp>
        <stp>253</stp>
        <tr r="A256" s="1"/>
      </tp>
      <tp t="s">
        <v>-</v>
        <stp/>
        <stp>T&amp;T0</stp>
        <stp>DAT</stp>
        <stp>254</stp>
        <tr r="A257" s="1"/>
      </tp>
      <tp t="s">
        <v>-</v>
        <stp/>
        <stp>T&amp;T0</stp>
        <stp>DAT</stp>
        <stp>255</stp>
        <tr r="A258" s="1"/>
      </tp>
      <tp t="s">
        <v>-</v>
        <stp/>
        <stp>T&amp;T0</stp>
        <stp>DAT</stp>
        <stp>256</stp>
        <tr r="A259" s="1"/>
      </tp>
      <tp t="s">
        <v>-</v>
        <stp/>
        <stp>T&amp;T0</stp>
        <stp>DAT</stp>
        <stp>257</stp>
        <tr r="A260" s="1"/>
      </tp>
      <tp t="s">
        <v>-</v>
        <stp/>
        <stp>T&amp;T0</stp>
        <stp>DAT</stp>
        <stp>258</stp>
        <tr r="A261" s="1"/>
      </tp>
      <tp t="s">
        <v>-</v>
        <stp/>
        <stp>T&amp;T0</stp>
        <stp>DAT</stp>
        <stp>259</stp>
        <tr r="A262" s="1"/>
      </tp>
      <tp t="s">
        <v>-</v>
        <stp/>
        <stp>T&amp;T0</stp>
        <stp>DAT</stp>
        <stp>240</stp>
        <tr r="A243" s="1"/>
      </tp>
      <tp t="s">
        <v>-</v>
        <stp/>
        <stp>T&amp;T0</stp>
        <stp>DAT</stp>
        <stp>241</stp>
        <tr r="A244" s="1"/>
      </tp>
      <tp t="s">
        <v>-</v>
        <stp/>
        <stp>T&amp;T0</stp>
        <stp>DAT</stp>
        <stp>242</stp>
        <tr r="A245" s="1"/>
      </tp>
      <tp t="s">
        <v>-</v>
        <stp/>
        <stp>T&amp;T0</stp>
        <stp>DAT</stp>
        <stp>243</stp>
        <tr r="A246" s="1"/>
      </tp>
      <tp t="s">
        <v>-</v>
        <stp/>
        <stp>T&amp;T0</stp>
        <stp>DAT</stp>
        <stp>244</stp>
        <tr r="A247" s="1"/>
      </tp>
      <tp t="s">
        <v>-</v>
        <stp/>
        <stp>T&amp;T0</stp>
        <stp>DAT</stp>
        <stp>245</stp>
        <tr r="A248" s="1"/>
      </tp>
      <tp t="s">
        <v>-</v>
        <stp/>
        <stp>T&amp;T0</stp>
        <stp>DAT</stp>
        <stp>246</stp>
        <tr r="A249" s="1"/>
      </tp>
      <tp t="s">
        <v>-</v>
        <stp/>
        <stp>T&amp;T0</stp>
        <stp>DAT</stp>
        <stp>247</stp>
        <tr r="A250" s="1"/>
      </tp>
      <tp t="s">
        <v>-</v>
        <stp/>
        <stp>T&amp;T0</stp>
        <stp>DAT</stp>
        <stp>248</stp>
        <tr r="A251" s="1"/>
      </tp>
      <tp t="s">
        <v>-</v>
        <stp/>
        <stp>T&amp;T0</stp>
        <stp>DAT</stp>
        <stp>249</stp>
        <tr r="A252" s="1"/>
      </tp>
      <tp t="s">
        <v>-</v>
        <stp/>
        <stp>T&amp;T0</stp>
        <stp>DAT</stp>
        <stp>270</stp>
        <tr r="A273" s="1"/>
      </tp>
      <tp t="s">
        <v>-</v>
        <stp/>
        <stp>T&amp;T0</stp>
        <stp>DAT</stp>
        <stp>271</stp>
        <tr r="A274" s="1"/>
      </tp>
      <tp t="s">
        <v>-</v>
        <stp/>
        <stp>T&amp;T0</stp>
        <stp>DAT</stp>
        <stp>272</stp>
        <tr r="A275" s="1"/>
      </tp>
      <tp t="s">
        <v>-</v>
        <stp/>
        <stp>T&amp;T0</stp>
        <stp>DAT</stp>
        <stp>273</stp>
        <tr r="A276" s="1"/>
      </tp>
      <tp t="s">
        <v>-</v>
        <stp/>
        <stp>T&amp;T0</stp>
        <stp>DAT</stp>
        <stp>274</stp>
        <tr r="A277" s="1"/>
      </tp>
      <tp t="s">
        <v>-</v>
        <stp/>
        <stp>T&amp;T0</stp>
        <stp>DAT</stp>
        <stp>275</stp>
        <tr r="A278" s="1"/>
      </tp>
      <tp t="s">
        <v>-</v>
        <stp/>
        <stp>T&amp;T0</stp>
        <stp>DAT</stp>
        <stp>276</stp>
        <tr r="A279" s="1"/>
      </tp>
      <tp t="s">
        <v>-</v>
        <stp/>
        <stp>T&amp;T0</stp>
        <stp>DAT</stp>
        <stp>277</stp>
        <tr r="A280" s="1"/>
      </tp>
      <tp t="s">
        <v>-</v>
        <stp/>
        <stp>T&amp;T0</stp>
        <stp>DAT</stp>
        <stp>278</stp>
        <tr r="A281" s="1"/>
      </tp>
      <tp t="s">
        <v>-</v>
        <stp/>
        <stp>T&amp;T0</stp>
        <stp>DAT</stp>
        <stp>279</stp>
        <tr r="A282" s="1"/>
      </tp>
      <tp t="s">
        <v>-</v>
        <stp/>
        <stp>T&amp;T0</stp>
        <stp>DAT</stp>
        <stp>260</stp>
        <tr r="A263" s="1"/>
      </tp>
      <tp t="s">
        <v>-</v>
        <stp/>
        <stp>T&amp;T0</stp>
        <stp>DAT</stp>
        <stp>261</stp>
        <tr r="A264" s="1"/>
      </tp>
      <tp t="s">
        <v>-</v>
        <stp/>
        <stp>T&amp;T0</stp>
        <stp>DAT</stp>
        <stp>262</stp>
        <tr r="A265" s="1"/>
      </tp>
      <tp t="s">
        <v>-</v>
        <stp/>
        <stp>T&amp;T0</stp>
        <stp>DAT</stp>
        <stp>263</stp>
        <tr r="A266" s="1"/>
      </tp>
      <tp t="s">
        <v>-</v>
        <stp/>
        <stp>T&amp;T0</stp>
        <stp>DAT</stp>
        <stp>264</stp>
        <tr r="A267" s="1"/>
      </tp>
      <tp t="s">
        <v>-</v>
        <stp/>
        <stp>T&amp;T0</stp>
        <stp>DAT</stp>
        <stp>265</stp>
        <tr r="A268" s="1"/>
      </tp>
      <tp t="s">
        <v>-</v>
        <stp/>
        <stp>T&amp;T0</stp>
        <stp>DAT</stp>
        <stp>266</stp>
        <tr r="A269" s="1"/>
      </tp>
      <tp t="s">
        <v>-</v>
        <stp/>
        <stp>T&amp;T0</stp>
        <stp>DAT</stp>
        <stp>267</stp>
        <tr r="A270" s="1"/>
      </tp>
      <tp t="s">
        <v>-</v>
        <stp/>
        <stp>T&amp;T0</stp>
        <stp>DAT</stp>
        <stp>268</stp>
        <tr r="A271" s="1"/>
      </tp>
      <tp t="s">
        <v>-</v>
        <stp/>
        <stp>T&amp;T0</stp>
        <stp>DAT</stp>
        <stp>269</stp>
        <tr r="A272" s="1"/>
      </tp>
      <tp t="s">
        <v>-</v>
        <stp/>
        <stp>T&amp;T0</stp>
        <stp>DAT</stp>
        <stp>210</stp>
        <tr r="A213" s="1"/>
      </tp>
      <tp t="s">
        <v>-</v>
        <stp/>
        <stp>T&amp;T0</stp>
        <stp>DAT</stp>
        <stp>211</stp>
        <tr r="A214" s="1"/>
      </tp>
      <tp t="s">
        <v>-</v>
        <stp/>
        <stp>T&amp;T0</stp>
        <stp>DAT</stp>
        <stp>212</stp>
        <tr r="A215" s="1"/>
      </tp>
      <tp t="s">
        <v>-</v>
        <stp/>
        <stp>T&amp;T0</stp>
        <stp>DAT</stp>
        <stp>213</stp>
        <tr r="A216" s="1"/>
      </tp>
      <tp t="s">
        <v>-</v>
        <stp/>
        <stp>T&amp;T0</stp>
        <stp>DAT</stp>
        <stp>214</stp>
        <tr r="A217" s="1"/>
      </tp>
      <tp t="s">
        <v>-</v>
        <stp/>
        <stp>T&amp;T0</stp>
        <stp>DAT</stp>
        <stp>215</stp>
        <tr r="A218" s="1"/>
      </tp>
      <tp t="s">
        <v>-</v>
        <stp/>
        <stp>T&amp;T0</stp>
        <stp>DAT</stp>
        <stp>216</stp>
        <tr r="A219" s="1"/>
      </tp>
      <tp t="s">
        <v>-</v>
        <stp/>
        <stp>T&amp;T0</stp>
        <stp>DAT</stp>
        <stp>217</stp>
        <tr r="A220" s="1"/>
      </tp>
      <tp t="s">
        <v>-</v>
        <stp/>
        <stp>T&amp;T0</stp>
        <stp>DAT</stp>
        <stp>218</stp>
        <tr r="A221" s="1"/>
      </tp>
      <tp t="s">
        <v>-</v>
        <stp/>
        <stp>T&amp;T0</stp>
        <stp>DAT</stp>
        <stp>219</stp>
        <tr r="A222" s="1"/>
      </tp>
      <tp t="s">
        <v>-</v>
        <stp/>
        <stp>T&amp;T0</stp>
        <stp>DAT</stp>
        <stp>200</stp>
        <tr r="A203" s="1"/>
      </tp>
      <tp t="s">
        <v>-</v>
        <stp/>
        <stp>T&amp;T0</stp>
        <stp>DAT</stp>
        <stp>201</stp>
        <tr r="A204" s="1"/>
      </tp>
      <tp t="s">
        <v>-</v>
        <stp/>
        <stp>T&amp;T0</stp>
        <stp>DAT</stp>
        <stp>202</stp>
        <tr r="A205" s="1"/>
      </tp>
      <tp t="s">
        <v>-</v>
        <stp/>
        <stp>T&amp;T0</stp>
        <stp>DAT</stp>
        <stp>203</stp>
        <tr r="A206" s="1"/>
      </tp>
      <tp t="s">
        <v>-</v>
        <stp/>
        <stp>T&amp;T0</stp>
        <stp>DAT</stp>
        <stp>204</stp>
        <tr r="A207" s="1"/>
      </tp>
      <tp t="s">
        <v>-</v>
        <stp/>
        <stp>T&amp;T0</stp>
        <stp>DAT</stp>
        <stp>205</stp>
        <tr r="A208" s="1"/>
      </tp>
      <tp t="s">
        <v>-</v>
        <stp/>
        <stp>T&amp;T0</stp>
        <stp>DAT</stp>
        <stp>206</stp>
        <tr r="A209" s="1"/>
      </tp>
      <tp t="s">
        <v>-</v>
        <stp/>
        <stp>T&amp;T0</stp>
        <stp>DAT</stp>
        <stp>207</stp>
        <tr r="A210" s="1"/>
      </tp>
      <tp t="s">
        <v>-</v>
        <stp/>
        <stp>T&amp;T0</stp>
        <stp>DAT</stp>
        <stp>208</stp>
        <tr r="A211" s="1"/>
      </tp>
      <tp t="s">
        <v>-</v>
        <stp/>
        <stp>T&amp;T0</stp>
        <stp>DAT</stp>
        <stp>209</stp>
        <tr r="A212" s="1"/>
      </tp>
      <tp t="s">
        <v>-</v>
        <stp/>
        <stp>T&amp;T0</stp>
        <stp>DAT</stp>
        <stp>230</stp>
        <tr r="A233" s="1"/>
      </tp>
      <tp t="s">
        <v>-</v>
        <stp/>
        <stp>T&amp;T0</stp>
        <stp>DAT</stp>
        <stp>231</stp>
        <tr r="A234" s="1"/>
      </tp>
      <tp t="s">
        <v>-</v>
        <stp/>
        <stp>T&amp;T0</stp>
        <stp>DAT</stp>
        <stp>232</stp>
        <tr r="A235" s="1"/>
      </tp>
      <tp t="s">
        <v>-</v>
        <stp/>
        <stp>T&amp;T0</stp>
        <stp>DAT</stp>
        <stp>233</stp>
        <tr r="A236" s="1"/>
      </tp>
      <tp t="s">
        <v>-</v>
        <stp/>
        <stp>T&amp;T0</stp>
        <stp>DAT</stp>
        <stp>234</stp>
        <tr r="A237" s="1"/>
      </tp>
      <tp t="s">
        <v>-</v>
        <stp/>
        <stp>T&amp;T0</stp>
        <stp>DAT</stp>
        <stp>235</stp>
        <tr r="A238" s="1"/>
      </tp>
      <tp t="s">
        <v>-</v>
        <stp/>
        <stp>T&amp;T0</stp>
        <stp>DAT</stp>
        <stp>236</stp>
        <tr r="A239" s="1"/>
      </tp>
      <tp t="s">
        <v>-</v>
        <stp/>
        <stp>T&amp;T0</stp>
        <stp>DAT</stp>
        <stp>237</stp>
        <tr r="A240" s="1"/>
      </tp>
      <tp t="s">
        <v>-</v>
        <stp/>
        <stp>T&amp;T0</stp>
        <stp>DAT</stp>
        <stp>238</stp>
        <tr r="A241" s="1"/>
      </tp>
      <tp t="s">
        <v>-</v>
        <stp/>
        <stp>T&amp;T0</stp>
        <stp>DAT</stp>
        <stp>239</stp>
        <tr r="A242" s="1"/>
      </tp>
      <tp t="s">
        <v>-</v>
        <stp/>
        <stp>T&amp;T0</stp>
        <stp>DAT</stp>
        <stp>220</stp>
        <tr r="A223" s="1"/>
      </tp>
      <tp t="s">
        <v>-</v>
        <stp/>
        <stp>T&amp;T0</stp>
        <stp>DAT</stp>
        <stp>221</stp>
        <tr r="A224" s="1"/>
      </tp>
      <tp t="s">
        <v>-</v>
        <stp/>
        <stp>T&amp;T0</stp>
        <stp>DAT</stp>
        <stp>222</stp>
        <tr r="A225" s="1"/>
      </tp>
      <tp t="s">
        <v>-</v>
        <stp/>
        <stp>T&amp;T0</stp>
        <stp>DAT</stp>
        <stp>223</stp>
        <tr r="A226" s="1"/>
      </tp>
      <tp t="s">
        <v>-</v>
        <stp/>
        <stp>T&amp;T0</stp>
        <stp>DAT</stp>
        <stp>224</stp>
        <tr r="A227" s="1"/>
      </tp>
      <tp t="s">
        <v>-</v>
        <stp/>
        <stp>T&amp;T0</stp>
        <stp>DAT</stp>
        <stp>225</stp>
        <tr r="A228" s="1"/>
      </tp>
      <tp t="s">
        <v>-</v>
        <stp/>
        <stp>T&amp;T0</stp>
        <stp>DAT</stp>
        <stp>226</stp>
        <tr r="A229" s="1"/>
      </tp>
      <tp t="s">
        <v>-</v>
        <stp/>
        <stp>T&amp;T0</stp>
        <stp>DAT</stp>
        <stp>227</stp>
        <tr r="A230" s="1"/>
      </tp>
      <tp t="s">
        <v>-</v>
        <stp/>
        <stp>T&amp;T0</stp>
        <stp>DAT</stp>
        <stp>228</stp>
        <tr r="A231" s="1"/>
      </tp>
      <tp t="s">
        <v>-</v>
        <stp/>
        <stp>T&amp;T0</stp>
        <stp>DAT</stp>
        <stp>229</stp>
        <tr r="A232" s="1"/>
      </tp>
      <tp t="s">
        <v>-</v>
        <stp/>
        <stp>T&amp;T0</stp>
        <stp>DAT</stp>
        <stp>390</stp>
        <tr r="A393" s="1"/>
      </tp>
      <tp t="s">
        <v>-</v>
        <stp/>
        <stp>T&amp;T0</stp>
        <stp>DAT</stp>
        <stp>391</stp>
        <tr r="A394" s="1"/>
      </tp>
      <tp t="s">
        <v>-</v>
        <stp/>
        <stp>T&amp;T0</stp>
        <stp>DAT</stp>
        <stp>392</stp>
        <tr r="A395" s="1"/>
      </tp>
      <tp t="s">
        <v>-</v>
        <stp/>
        <stp>T&amp;T0</stp>
        <stp>DAT</stp>
        <stp>393</stp>
        <tr r="A396" s="1"/>
      </tp>
      <tp t="s">
        <v>-</v>
        <stp/>
        <stp>T&amp;T0</stp>
        <stp>DAT</stp>
        <stp>394</stp>
        <tr r="A397" s="1"/>
      </tp>
      <tp t="s">
        <v>-</v>
        <stp/>
        <stp>T&amp;T0</stp>
        <stp>DAT</stp>
        <stp>395</stp>
        <tr r="A398" s="1"/>
      </tp>
      <tp t="s">
        <v>-</v>
        <stp/>
        <stp>T&amp;T0</stp>
        <stp>DAT</stp>
        <stp>396</stp>
        <tr r="A399" s="1"/>
      </tp>
      <tp t="s">
        <v>-</v>
        <stp/>
        <stp>T&amp;T0</stp>
        <stp>DAT</stp>
        <stp>397</stp>
        <tr r="A400" s="1"/>
      </tp>
      <tp t="s">
        <v>-</v>
        <stp/>
        <stp>T&amp;T0</stp>
        <stp>DAT</stp>
        <stp>398</stp>
        <tr r="A401" s="1"/>
      </tp>
      <tp t="s">
        <v>-</v>
        <stp/>
        <stp>T&amp;T0</stp>
        <stp>DAT</stp>
        <stp>399</stp>
        <tr r="A402" s="1"/>
      </tp>
      <tp t="s">
        <v>-</v>
        <stp/>
        <stp>T&amp;T0</stp>
        <stp>DAT</stp>
        <stp>380</stp>
        <tr r="A383" s="1"/>
      </tp>
      <tp t="s">
        <v>-</v>
        <stp/>
        <stp>T&amp;T0</stp>
        <stp>DAT</stp>
        <stp>381</stp>
        <tr r="A384" s="1"/>
      </tp>
      <tp t="s">
        <v>-</v>
        <stp/>
        <stp>T&amp;T0</stp>
        <stp>DAT</stp>
        <stp>382</stp>
        <tr r="A385" s="1"/>
      </tp>
      <tp t="s">
        <v>-</v>
        <stp/>
        <stp>T&amp;T0</stp>
        <stp>DAT</stp>
        <stp>383</stp>
        <tr r="A386" s="1"/>
      </tp>
      <tp t="s">
        <v>-</v>
        <stp/>
        <stp>T&amp;T0</stp>
        <stp>DAT</stp>
        <stp>384</stp>
        <tr r="A387" s="1"/>
      </tp>
      <tp t="s">
        <v>-</v>
        <stp/>
        <stp>T&amp;T0</stp>
        <stp>DAT</stp>
        <stp>385</stp>
        <tr r="A388" s="1"/>
      </tp>
      <tp t="s">
        <v>-</v>
        <stp/>
        <stp>T&amp;T0</stp>
        <stp>DAT</stp>
        <stp>386</stp>
        <tr r="A389" s="1"/>
      </tp>
      <tp t="s">
        <v>-</v>
        <stp/>
        <stp>T&amp;T0</stp>
        <stp>DAT</stp>
        <stp>387</stp>
        <tr r="A390" s="1"/>
      </tp>
      <tp t="s">
        <v>-</v>
        <stp/>
        <stp>T&amp;T0</stp>
        <stp>DAT</stp>
        <stp>388</stp>
        <tr r="A391" s="1"/>
      </tp>
      <tp t="s">
        <v>-</v>
        <stp/>
        <stp>T&amp;T0</stp>
        <stp>DAT</stp>
        <stp>389</stp>
        <tr r="A392" s="1"/>
      </tp>
      <tp t="s">
        <v>-</v>
        <stp/>
        <stp>T&amp;T0</stp>
        <stp>DAT</stp>
        <stp>350</stp>
        <tr r="A353" s="1"/>
      </tp>
      <tp t="s">
        <v>-</v>
        <stp/>
        <stp>T&amp;T0</stp>
        <stp>DAT</stp>
        <stp>351</stp>
        <tr r="A354" s="1"/>
      </tp>
      <tp t="s">
        <v>-</v>
        <stp/>
        <stp>T&amp;T0</stp>
        <stp>DAT</stp>
        <stp>352</stp>
        <tr r="A355" s="1"/>
      </tp>
      <tp t="s">
        <v>-</v>
        <stp/>
        <stp>T&amp;T0</stp>
        <stp>DAT</stp>
        <stp>353</stp>
        <tr r="A356" s="1"/>
      </tp>
      <tp t="s">
        <v>-</v>
        <stp/>
        <stp>T&amp;T0</stp>
        <stp>DAT</stp>
        <stp>354</stp>
        <tr r="A357" s="1"/>
      </tp>
      <tp t="s">
        <v>-</v>
        <stp/>
        <stp>T&amp;T0</stp>
        <stp>DAT</stp>
        <stp>355</stp>
        <tr r="A358" s="1"/>
      </tp>
      <tp t="s">
        <v>-</v>
        <stp/>
        <stp>T&amp;T0</stp>
        <stp>DAT</stp>
        <stp>356</stp>
        <tr r="A359" s="1"/>
      </tp>
      <tp t="s">
        <v>-</v>
        <stp/>
        <stp>T&amp;T0</stp>
        <stp>DAT</stp>
        <stp>357</stp>
        <tr r="A360" s="1"/>
      </tp>
      <tp t="s">
        <v>-</v>
        <stp/>
        <stp>T&amp;T0</stp>
        <stp>DAT</stp>
        <stp>358</stp>
        <tr r="A361" s="1"/>
      </tp>
      <tp t="s">
        <v>-</v>
        <stp/>
        <stp>T&amp;T0</stp>
        <stp>DAT</stp>
        <stp>359</stp>
        <tr r="A362" s="1"/>
      </tp>
      <tp t="s">
        <v>-</v>
        <stp/>
        <stp>T&amp;T0</stp>
        <stp>DAT</stp>
        <stp>340</stp>
        <tr r="A343" s="1"/>
      </tp>
      <tp t="s">
        <v>-</v>
        <stp/>
        <stp>T&amp;T0</stp>
        <stp>DAT</stp>
        <stp>341</stp>
        <tr r="A344" s="1"/>
      </tp>
      <tp t="s">
        <v>-</v>
        <stp/>
        <stp>T&amp;T0</stp>
        <stp>DAT</stp>
        <stp>342</stp>
        <tr r="A345" s="1"/>
      </tp>
      <tp t="s">
        <v>-</v>
        <stp/>
        <stp>T&amp;T0</stp>
        <stp>DAT</stp>
        <stp>343</stp>
        <tr r="A346" s="1"/>
      </tp>
      <tp t="s">
        <v>-</v>
        <stp/>
        <stp>T&amp;T0</stp>
        <stp>DAT</stp>
        <stp>344</stp>
        <tr r="A347" s="1"/>
      </tp>
      <tp t="s">
        <v>-</v>
        <stp/>
        <stp>T&amp;T0</stp>
        <stp>DAT</stp>
        <stp>345</stp>
        <tr r="A348" s="1"/>
      </tp>
      <tp t="s">
        <v>-</v>
        <stp/>
        <stp>T&amp;T0</stp>
        <stp>DAT</stp>
        <stp>346</stp>
        <tr r="A349" s="1"/>
      </tp>
      <tp t="s">
        <v>-</v>
        <stp/>
        <stp>T&amp;T0</stp>
        <stp>DAT</stp>
        <stp>347</stp>
        <tr r="A350" s="1"/>
      </tp>
      <tp t="s">
        <v>-</v>
        <stp/>
        <stp>T&amp;T0</stp>
        <stp>DAT</stp>
        <stp>348</stp>
        <tr r="A351" s="1"/>
      </tp>
      <tp t="s">
        <v>-</v>
        <stp/>
        <stp>T&amp;T0</stp>
        <stp>DAT</stp>
        <stp>349</stp>
        <tr r="A352" s="1"/>
      </tp>
      <tp t="s">
        <v>-</v>
        <stp/>
        <stp>T&amp;T0</stp>
        <stp>DAT</stp>
        <stp>370</stp>
        <tr r="A373" s="1"/>
      </tp>
      <tp t="s">
        <v>-</v>
        <stp/>
        <stp>T&amp;T0</stp>
        <stp>DAT</stp>
        <stp>371</stp>
        <tr r="A374" s="1"/>
      </tp>
      <tp t="s">
        <v>-</v>
        <stp/>
        <stp>T&amp;T0</stp>
        <stp>DAT</stp>
        <stp>372</stp>
        <tr r="A375" s="1"/>
      </tp>
      <tp t="s">
        <v>-</v>
        <stp/>
        <stp>T&amp;T0</stp>
        <stp>DAT</stp>
        <stp>373</stp>
        <tr r="A376" s="1"/>
      </tp>
      <tp t="s">
        <v>-</v>
        <stp/>
        <stp>T&amp;T0</stp>
        <stp>DAT</stp>
        <stp>374</stp>
        <tr r="A377" s="1"/>
      </tp>
      <tp t="s">
        <v>-</v>
        <stp/>
        <stp>T&amp;T0</stp>
        <stp>DAT</stp>
        <stp>375</stp>
        <tr r="A378" s="1"/>
      </tp>
      <tp t="s">
        <v>-</v>
        <stp/>
        <stp>T&amp;T0</stp>
        <stp>DAT</stp>
        <stp>376</stp>
        <tr r="A379" s="1"/>
      </tp>
      <tp t="s">
        <v>-</v>
        <stp/>
        <stp>T&amp;T0</stp>
        <stp>DAT</stp>
        <stp>377</stp>
        <tr r="A380" s="1"/>
      </tp>
      <tp t="s">
        <v>-</v>
        <stp/>
        <stp>T&amp;T0</stp>
        <stp>DAT</stp>
        <stp>378</stp>
        <tr r="A381" s="1"/>
      </tp>
      <tp t="s">
        <v>-</v>
        <stp/>
        <stp>T&amp;T0</stp>
        <stp>DAT</stp>
        <stp>379</stp>
        <tr r="A382" s="1"/>
      </tp>
      <tp t="s">
        <v>-</v>
        <stp/>
        <stp>T&amp;T0</stp>
        <stp>DAT</stp>
        <stp>360</stp>
        <tr r="A363" s="1"/>
      </tp>
      <tp t="s">
        <v>-</v>
        <stp/>
        <stp>T&amp;T0</stp>
        <stp>DAT</stp>
        <stp>361</stp>
        <tr r="A364" s="1"/>
      </tp>
      <tp t="s">
        <v>-</v>
        <stp/>
        <stp>T&amp;T0</stp>
        <stp>DAT</stp>
        <stp>362</stp>
        <tr r="A365" s="1"/>
      </tp>
      <tp t="s">
        <v>-</v>
        <stp/>
        <stp>T&amp;T0</stp>
        <stp>DAT</stp>
        <stp>363</stp>
        <tr r="A366" s="1"/>
      </tp>
      <tp t="s">
        <v>-</v>
        <stp/>
        <stp>T&amp;T0</stp>
        <stp>DAT</stp>
        <stp>364</stp>
        <tr r="A367" s="1"/>
      </tp>
      <tp t="s">
        <v>-</v>
        <stp/>
        <stp>T&amp;T0</stp>
        <stp>DAT</stp>
        <stp>365</stp>
        <tr r="A368" s="1"/>
      </tp>
      <tp t="s">
        <v>-</v>
        <stp/>
        <stp>T&amp;T0</stp>
        <stp>DAT</stp>
        <stp>366</stp>
        <tr r="A369" s="1"/>
      </tp>
      <tp t="s">
        <v>-</v>
        <stp/>
        <stp>T&amp;T0</stp>
        <stp>DAT</stp>
        <stp>367</stp>
        <tr r="A370" s="1"/>
      </tp>
      <tp t="s">
        <v>-</v>
        <stp/>
        <stp>T&amp;T0</stp>
        <stp>DAT</stp>
        <stp>368</stp>
        <tr r="A371" s="1"/>
      </tp>
      <tp t="s">
        <v>-</v>
        <stp/>
        <stp>T&amp;T0</stp>
        <stp>DAT</stp>
        <stp>369</stp>
        <tr r="A372" s="1"/>
      </tp>
      <tp t="s">
        <v>-</v>
        <stp/>
        <stp>T&amp;T0</stp>
        <stp>DAT</stp>
        <stp>310</stp>
        <tr r="A313" s="1"/>
      </tp>
      <tp t="s">
        <v>-</v>
        <stp/>
        <stp>T&amp;T0</stp>
        <stp>DAT</stp>
        <stp>311</stp>
        <tr r="A314" s="1"/>
      </tp>
      <tp t="s">
        <v>-</v>
        <stp/>
        <stp>T&amp;T0</stp>
        <stp>DAT</stp>
        <stp>312</stp>
        <tr r="A315" s="1"/>
      </tp>
      <tp t="s">
        <v>-</v>
        <stp/>
        <stp>T&amp;T0</stp>
        <stp>DAT</stp>
        <stp>313</stp>
        <tr r="A316" s="1"/>
      </tp>
      <tp t="s">
        <v>-</v>
        <stp/>
        <stp>T&amp;T0</stp>
        <stp>DAT</stp>
        <stp>314</stp>
        <tr r="A317" s="1"/>
      </tp>
      <tp t="s">
        <v>-</v>
        <stp/>
        <stp>T&amp;T0</stp>
        <stp>DAT</stp>
        <stp>315</stp>
        <tr r="A318" s="1"/>
      </tp>
      <tp t="s">
        <v>-</v>
        <stp/>
        <stp>T&amp;T0</stp>
        <stp>DAT</stp>
        <stp>316</stp>
        <tr r="A319" s="1"/>
      </tp>
      <tp t="s">
        <v>-</v>
        <stp/>
        <stp>T&amp;T0</stp>
        <stp>DAT</stp>
        <stp>317</stp>
        <tr r="A320" s="1"/>
      </tp>
      <tp t="s">
        <v>-</v>
        <stp/>
        <stp>T&amp;T0</stp>
        <stp>DAT</stp>
        <stp>318</stp>
        <tr r="A321" s="1"/>
      </tp>
      <tp t="s">
        <v>-</v>
        <stp/>
        <stp>T&amp;T0</stp>
        <stp>DAT</stp>
        <stp>319</stp>
        <tr r="A322" s="1"/>
      </tp>
      <tp t="s">
        <v>-</v>
        <stp/>
        <stp>T&amp;T0</stp>
        <stp>DAT</stp>
        <stp>300</stp>
        <tr r="A303" s="1"/>
      </tp>
      <tp t="s">
        <v>-</v>
        <stp/>
        <stp>T&amp;T0</stp>
        <stp>DAT</stp>
        <stp>301</stp>
        <tr r="A304" s="1"/>
      </tp>
      <tp t="s">
        <v>-</v>
        <stp/>
        <stp>T&amp;T0</stp>
        <stp>DAT</stp>
        <stp>302</stp>
        <tr r="A305" s="1"/>
      </tp>
      <tp t="s">
        <v>-</v>
        <stp/>
        <stp>T&amp;T0</stp>
        <stp>DAT</stp>
        <stp>303</stp>
        <tr r="A306" s="1"/>
      </tp>
      <tp t="s">
        <v>-</v>
        <stp/>
        <stp>T&amp;T0</stp>
        <stp>DAT</stp>
        <stp>304</stp>
        <tr r="A307" s="1"/>
      </tp>
      <tp t="s">
        <v>-</v>
        <stp/>
        <stp>T&amp;T0</stp>
        <stp>DAT</stp>
        <stp>305</stp>
        <tr r="A308" s="1"/>
      </tp>
      <tp t="s">
        <v>-</v>
        <stp/>
        <stp>T&amp;T0</stp>
        <stp>DAT</stp>
        <stp>306</stp>
        <tr r="A309" s="1"/>
      </tp>
      <tp t="s">
        <v>-</v>
        <stp/>
        <stp>T&amp;T0</stp>
        <stp>DAT</stp>
        <stp>307</stp>
        <tr r="A310" s="1"/>
      </tp>
      <tp t="s">
        <v>-</v>
        <stp/>
        <stp>T&amp;T0</stp>
        <stp>DAT</stp>
        <stp>308</stp>
        <tr r="A311" s="1"/>
      </tp>
      <tp t="s">
        <v>-</v>
        <stp/>
        <stp>T&amp;T0</stp>
        <stp>DAT</stp>
        <stp>309</stp>
        <tr r="A312" s="1"/>
      </tp>
      <tp t="s">
        <v>-</v>
        <stp/>
        <stp>T&amp;T0</stp>
        <stp>DAT</stp>
        <stp>330</stp>
        <tr r="A333" s="1"/>
      </tp>
      <tp t="s">
        <v>-</v>
        <stp/>
        <stp>T&amp;T0</stp>
        <stp>DAT</stp>
        <stp>331</stp>
        <tr r="A334" s="1"/>
      </tp>
      <tp t="s">
        <v>-</v>
        <stp/>
        <stp>T&amp;T0</stp>
        <stp>DAT</stp>
        <stp>332</stp>
        <tr r="A335" s="1"/>
      </tp>
      <tp t="s">
        <v>-</v>
        <stp/>
        <stp>T&amp;T0</stp>
        <stp>DAT</stp>
        <stp>333</stp>
        <tr r="A336" s="1"/>
      </tp>
      <tp t="s">
        <v>-</v>
        <stp/>
        <stp>T&amp;T0</stp>
        <stp>DAT</stp>
        <stp>334</stp>
        <tr r="A337" s="1"/>
      </tp>
      <tp t="s">
        <v>-</v>
        <stp/>
        <stp>T&amp;T0</stp>
        <stp>DAT</stp>
        <stp>335</stp>
        <tr r="A338" s="1"/>
      </tp>
      <tp t="s">
        <v>-</v>
        <stp/>
        <stp>T&amp;T0</stp>
        <stp>DAT</stp>
        <stp>336</stp>
        <tr r="A339" s="1"/>
      </tp>
      <tp t="s">
        <v>-</v>
        <stp/>
        <stp>T&amp;T0</stp>
        <stp>DAT</stp>
        <stp>337</stp>
        <tr r="A340" s="1"/>
      </tp>
      <tp t="s">
        <v>-</v>
        <stp/>
        <stp>T&amp;T0</stp>
        <stp>DAT</stp>
        <stp>338</stp>
        <tr r="A341" s="1"/>
      </tp>
      <tp t="s">
        <v>-</v>
        <stp/>
        <stp>T&amp;T0</stp>
        <stp>DAT</stp>
        <stp>339</stp>
        <tr r="A342" s="1"/>
      </tp>
      <tp t="s">
        <v>-</v>
        <stp/>
        <stp>T&amp;T0</stp>
        <stp>DAT</stp>
        <stp>320</stp>
        <tr r="A323" s="1"/>
      </tp>
      <tp t="s">
        <v>-</v>
        <stp/>
        <stp>T&amp;T0</stp>
        <stp>DAT</stp>
        <stp>321</stp>
        <tr r="A324" s="1"/>
      </tp>
      <tp t="s">
        <v>-</v>
        <stp/>
        <stp>T&amp;T0</stp>
        <stp>DAT</stp>
        <stp>322</stp>
        <tr r="A325" s="1"/>
      </tp>
      <tp t="s">
        <v>-</v>
        <stp/>
        <stp>T&amp;T0</stp>
        <stp>DAT</stp>
        <stp>323</stp>
        <tr r="A326" s="1"/>
      </tp>
      <tp t="s">
        <v>-</v>
        <stp/>
        <stp>T&amp;T0</stp>
        <stp>DAT</stp>
        <stp>324</stp>
        <tr r="A327" s="1"/>
      </tp>
      <tp t="s">
        <v>-</v>
        <stp/>
        <stp>T&amp;T0</stp>
        <stp>DAT</stp>
        <stp>325</stp>
        <tr r="A328" s="1"/>
      </tp>
      <tp t="s">
        <v>-</v>
        <stp/>
        <stp>T&amp;T0</stp>
        <stp>DAT</stp>
        <stp>326</stp>
        <tr r="A329" s="1"/>
      </tp>
      <tp t="s">
        <v>-</v>
        <stp/>
        <stp>T&amp;T0</stp>
        <stp>DAT</stp>
        <stp>327</stp>
        <tr r="A330" s="1"/>
      </tp>
      <tp t="s">
        <v>-</v>
        <stp/>
        <stp>T&amp;T0</stp>
        <stp>DAT</stp>
        <stp>328</stp>
        <tr r="A331" s="1"/>
      </tp>
      <tp t="s">
        <v>-</v>
        <stp/>
        <stp>T&amp;T0</stp>
        <stp>DAT</stp>
        <stp>329</stp>
        <tr r="A332" s="1"/>
      </tp>
      <tp t="s">
        <v>-</v>
        <stp/>
        <stp>T&amp;T0</stp>
        <stp>AGR</stp>
        <stp>496</stp>
        <tr r="F499" s="1"/>
      </tp>
      <tp t="s">
        <v>-</v>
        <stp/>
        <stp>T&amp;T0</stp>
        <stp>AGR</stp>
        <stp>497</stp>
        <tr r="F500" s="1"/>
      </tp>
      <tp t="s">
        <v>-</v>
        <stp/>
        <stp>T&amp;T0</stp>
        <stp>AGR</stp>
        <stp>494</stp>
        <tr r="F497" s="1"/>
      </tp>
      <tp t="s">
        <v>-</v>
        <stp/>
        <stp>T&amp;T0</stp>
        <stp>AGR</stp>
        <stp>495</stp>
        <tr r="F498" s="1"/>
      </tp>
      <tp t="s">
        <v>-</v>
        <stp/>
        <stp>T&amp;T0</stp>
        <stp>AGR</stp>
        <stp>492</stp>
        <tr r="F495" s="1"/>
      </tp>
      <tp t="s">
        <v>-</v>
        <stp/>
        <stp>T&amp;T0</stp>
        <stp>AGR</stp>
        <stp>493</stp>
        <tr r="F496" s="1"/>
      </tp>
      <tp t="s">
        <v>-</v>
        <stp/>
        <stp>T&amp;T0</stp>
        <stp>AGR</stp>
        <stp>490</stp>
        <tr r="F493" s="1"/>
      </tp>
      <tp t="s">
        <v>-</v>
        <stp/>
        <stp>T&amp;T0</stp>
        <stp>AGR</stp>
        <stp>491</stp>
        <tr r="F494" s="1"/>
      </tp>
      <tp t="s">
        <v>-</v>
        <stp/>
        <stp>T&amp;T0</stp>
        <stp>AGR</stp>
        <stp>498</stp>
        <tr r="F501" s="1"/>
      </tp>
      <tp t="s">
        <v>-</v>
        <stp/>
        <stp>T&amp;T0</stp>
        <stp>AGR</stp>
        <stp>499</stp>
        <tr r="F502" s="1"/>
        <tr r="F503" s="1"/>
      </tp>
      <tp t="s">
        <v>-</v>
        <stp/>
        <stp>T&amp;T0</stp>
        <stp>AGR</stp>
        <stp>486</stp>
        <tr r="F489" s="1"/>
      </tp>
      <tp t="s">
        <v>-</v>
        <stp/>
        <stp>T&amp;T0</stp>
        <stp>AGR</stp>
        <stp>487</stp>
        <tr r="F490" s="1"/>
      </tp>
      <tp t="s">
        <v>-</v>
        <stp/>
        <stp>T&amp;T0</stp>
        <stp>AGR</stp>
        <stp>484</stp>
        <tr r="F487" s="1"/>
      </tp>
      <tp t="s">
        <v>-</v>
        <stp/>
        <stp>T&amp;T0</stp>
        <stp>AGR</stp>
        <stp>485</stp>
        <tr r="F488" s="1"/>
      </tp>
      <tp t="s">
        <v>-</v>
        <stp/>
        <stp>T&amp;T0</stp>
        <stp>AGR</stp>
        <stp>482</stp>
        <tr r="F485" s="1"/>
      </tp>
      <tp t="s">
        <v>-</v>
        <stp/>
        <stp>T&amp;T0</stp>
        <stp>AGR</stp>
        <stp>483</stp>
        <tr r="F486" s="1"/>
      </tp>
      <tp t="s">
        <v>-</v>
        <stp/>
        <stp>T&amp;T0</stp>
        <stp>AGR</stp>
        <stp>480</stp>
        <tr r="F483" s="1"/>
      </tp>
      <tp t="s">
        <v>-</v>
        <stp/>
        <stp>T&amp;T0</stp>
        <stp>AGR</stp>
        <stp>481</stp>
        <tr r="F484" s="1"/>
      </tp>
      <tp t="s">
        <v>-</v>
        <stp/>
        <stp>T&amp;T0</stp>
        <stp>AGR</stp>
        <stp>488</stp>
        <tr r="F491" s="1"/>
      </tp>
      <tp t="s">
        <v>-</v>
        <stp/>
        <stp>T&amp;T0</stp>
        <stp>AGR</stp>
        <stp>489</stp>
        <tr r="F492" s="1"/>
      </tp>
      <tp t="s">
        <v>-</v>
        <stp/>
        <stp>T&amp;T0</stp>
        <stp>DAT</stp>
        <stp>190</stp>
        <tr r="A193" s="1"/>
      </tp>
      <tp t="s">
        <v>-</v>
        <stp/>
        <stp>T&amp;T0</stp>
        <stp>DAT</stp>
        <stp>191</stp>
        <tr r="A194" s="1"/>
      </tp>
      <tp t="s">
        <v>-</v>
        <stp/>
        <stp>T&amp;T0</stp>
        <stp>DAT</stp>
        <stp>192</stp>
        <tr r="A195" s="1"/>
      </tp>
      <tp t="s">
        <v>-</v>
        <stp/>
        <stp>T&amp;T0</stp>
        <stp>DAT</stp>
        <stp>193</stp>
        <tr r="A196" s="1"/>
      </tp>
      <tp t="s">
        <v>-</v>
        <stp/>
        <stp>T&amp;T0</stp>
        <stp>DAT</stp>
        <stp>194</stp>
        <tr r="A197" s="1"/>
      </tp>
      <tp t="s">
        <v>-</v>
        <stp/>
        <stp>T&amp;T0</stp>
        <stp>DAT</stp>
        <stp>195</stp>
        <tr r="A198" s="1"/>
      </tp>
      <tp t="s">
        <v>-</v>
        <stp/>
        <stp>T&amp;T0</stp>
        <stp>DAT</stp>
        <stp>196</stp>
        <tr r="A199" s="1"/>
      </tp>
      <tp t="s">
        <v>-</v>
        <stp/>
        <stp>T&amp;T0</stp>
        <stp>DAT</stp>
        <stp>197</stp>
        <tr r="A200" s="1"/>
      </tp>
      <tp t="s">
        <v>-</v>
        <stp/>
        <stp>T&amp;T0</stp>
        <stp>DAT</stp>
        <stp>198</stp>
        <tr r="A201" s="1"/>
      </tp>
      <tp t="s">
        <v>-</v>
        <stp/>
        <stp>T&amp;T0</stp>
        <stp>DAT</stp>
        <stp>199</stp>
        <tr r="A202" s="1"/>
      </tp>
      <tp t="s">
        <v>-</v>
        <stp/>
        <stp>T&amp;T0</stp>
        <stp>DAT</stp>
        <stp>180</stp>
        <tr r="A183" s="1"/>
      </tp>
      <tp t="s">
        <v>-</v>
        <stp/>
        <stp>T&amp;T0</stp>
        <stp>DAT</stp>
        <stp>181</stp>
        <tr r="A184" s="1"/>
      </tp>
      <tp t="s">
        <v>-</v>
        <stp/>
        <stp>T&amp;T0</stp>
        <stp>DAT</stp>
        <stp>182</stp>
        <tr r="A185" s="1"/>
      </tp>
      <tp t="s">
        <v>-</v>
        <stp/>
        <stp>T&amp;T0</stp>
        <stp>DAT</stp>
        <stp>183</stp>
        <tr r="A186" s="1"/>
      </tp>
      <tp t="s">
        <v>-</v>
        <stp/>
        <stp>T&amp;T0</stp>
        <stp>DAT</stp>
        <stp>184</stp>
        <tr r="A187" s="1"/>
      </tp>
      <tp t="s">
        <v>-</v>
        <stp/>
        <stp>T&amp;T0</stp>
        <stp>DAT</stp>
        <stp>185</stp>
        <tr r="A188" s="1"/>
      </tp>
      <tp t="s">
        <v>-</v>
        <stp/>
        <stp>T&amp;T0</stp>
        <stp>DAT</stp>
        <stp>186</stp>
        <tr r="A189" s="1"/>
      </tp>
      <tp t="s">
        <v>-</v>
        <stp/>
        <stp>T&amp;T0</stp>
        <stp>DAT</stp>
        <stp>187</stp>
        <tr r="A190" s="1"/>
      </tp>
      <tp t="s">
        <v>-</v>
        <stp/>
        <stp>T&amp;T0</stp>
        <stp>DAT</stp>
        <stp>188</stp>
        <tr r="A191" s="1"/>
      </tp>
      <tp t="s">
        <v>-</v>
        <stp/>
        <stp>T&amp;T0</stp>
        <stp>DAT</stp>
        <stp>189</stp>
        <tr r="A192" s="1"/>
      </tp>
      <tp t="s">
        <v>-</v>
        <stp/>
        <stp>T&amp;T0</stp>
        <stp>ACP</stp>
        <stp>494</stp>
        <tr r="B497" s="1"/>
      </tp>
      <tp t="s">
        <v>-</v>
        <stp/>
        <stp>T&amp;T0</stp>
        <stp>ACP</stp>
        <stp>495</stp>
        <tr r="B498" s="1"/>
      </tp>
      <tp t="s">
        <v>-</v>
        <stp/>
        <stp>T&amp;T0</stp>
        <stp>ACP</stp>
        <stp>496</stp>
        <tr r="B499" s="1"/>
      </tp>
      <tp t="s">
        <v>-</v>
        <stp/>
        <stp>T&amp;T0</stp>
        <stp>ACP</stp>
        <stp>497</stp>
        <tr r="B500" s="1"/>
      </tp>
      <tp t="s">
        <v>-</v>
        <stp/>
        <stp>T&amp;T0</stp>
        <stp>ACP</stp>
        <stp>490</stp>
        <tr r="B493" s="1"/>
      </tp>
      <tp t="s">
        <v>-</v>
        <stp/>
        <stp>T&amp;T0</stp>
        <stp>ACP</stp>
        <stp>491</stp>
        <tr r="B494" s="1"/>
      </tp>
      <tp t="s">
        <v>-</v>
        <stp/>
        <stp>T&amp;T0</stp>
        <stp>ACP</stp>
        <stp>492</stp>
        <tr r="B495" s="1"/>
      </tp>
      <tp t="s">
        <v>-</v>
        <stp/>
        <stp>T&amp;T0</stp>
        <stp>ACP</stp>
        <stp>493</stp>
        <tr r="B496" s="1"/>
      </tp>
      <tp t="s">
        <v>-</v>
        <stp/>
        <stp>T&amp;T0</stp>
        <stp>ACP</stp>
        <stp>498</stp>
        <tr r="B501" s="1"/>
      </tp>
      <tp t="s">
        <v>-</v>
        <stp/>
        <stp>T&amp;T0</stp>
        <stp>ACP</stp>
        <stp>499</stp>
        <tr r="B502" s="1"/>
        <tr r="B503" s="1"/>
      </tp>
      <tp t="s">
        <v>-</v>
        <stp/>
        <stp>T&amp;T0</stp>
        <stp>ACP</stp>
        <stp>484</stp>
        <tr r="B487" s="1"/>
      </tp>
      <tp t="s">
        <v>-</v>
        <stp/>
        <stp>T&amp;T0</stp>
        <stp>ACP</stp>
        <stp>485</stp>
        <tr r="B488" s="1"/>
      </tp>
      <tp t="s">
        <v>-</v>
        <stp/>
        <stp>T&amp;T0</stp>
        <stp>ACP</stp>
        <stp>486</stp>
        <tr r="B489" s="1"/>
      </tp>
      <tp t="s">
        <v>-</v>
        <stp/>
        <stp>T&amp;T0</stp>
        <stp>ACP</stp>
        <stp>487</stp>
        <tr r="B490" s="1"/>
      </tp>
      <tp t="s">
        <v>-</v>
        <stp/>
        <stp>T&amp;T0</stp>
        <stp>ACP</stp>
        <stp>480</stp>
        <tr r="B483" s="1"/>
      </tp>
      <tp t="s">
        <v>-</v>
        <stp/>
        <stp>T&amp;T0</stp>
        <stp>ACP</stp>
        <stp>481</stp>
        <tr r="B484" s="1"/>
      </tp>
      <tp t="s">
        <v>-</v>
        <stp/>
        <stp>T&amp;T0</stp>
        <stp>ACP</stp>
        <stp>482</stp>
        <tr r="B485" s="1"/>
      </tp>
      <tp t="s">
        <v>-</v>
        <stp/>
        <stp>T&amp;T0</stp>
        <stp>ACP</stp>
        <stp>483</stp>
        <tr r="B486" s="1"/>
      </tp>
      <tp t="s">
        <v>-</v>
        <stp/>
        <stp>T&amp;T0</stp>
        <stp>ACP</stp>
        <stp>488</stp>
        <tr r="B491" s="1"/>
      </tp>
      <tp t="s">
        <v>-</v>
        <stp/>
        <stp>T&amp;T0</stp>
        <stp>ACP</stp>
        <stp>489</stp>
        <tr r="B492" s="1"/>
      </tp>
      <tp t="s">
        <v>-</v>
        <stp/>
        <stp>T&amp;T0</stp>
        <stp>ACP</stp>
        <stp>474</stp>
        <tr r="B477" s="1"/>
      </tp>
      <tp t="s">
        <v>-</v>
        <stp/>
        <stp>T&amp;T0</stp>
        <stp>AGR</stp>
        <stp>436</stp>
        <tr r="F439" s="1"/>
      </tp>
      <tp t="s">
        <v>-</v>
        <stp/>
        <stp>T&amp;T0</stp>
        <stp>DAT</stp>
        <stp>150</stp>
        <tr r="A153" s="1"/>
      </tp>
      <tp t="s">
        <v>-</v>
        <stp/>
        <stp>T&amp;T0</stp>
        <stp>ACP</stp>
        <stp>475</stp>
        <tr r="B478" s="1"/>
      </tp>
      <tp t="s">
        <v>-</v>
        <stp/>
        <stp>T&amp;T0</stp>
        <stp>AGR</stp>
        <stp>437</stp>
        <tr r="F440" s="1"/>
      </tp>
      <tp t="s">
        <v>-</v>
        <stp/>
        <stp>T&amp;T0</stp>
        <stp>DAT</stp>
        <stp>151</stp>
        <tr r="A154" s="1"/>
      </tp>
      <tp t="s">
        <v>-</v>
        <stp/>
        <stp>T&amp;T0</stp>
        <stp>ACP</stp>
        <stp>476</stp>
        <tr r="B479" s="1"/>
      </tp>
      <tp t="s">
        <v>-</v>
        <stp/>
        <stp>T&amp;T0</stp>
        <stp>AGR</stp>
        <stp>434</stp>
        <tr r="F437" s="1"/>
      </tp>
      <tp t="s">
        <v>-</v>
        <stp/>
        <stp>T&amp;T0</stp>
        <stp>DAT</stp>
        <stp>152</stp>
        <tr r="A155" s="1"/>
      </tp>
      <tp t="s">
        <v>-</v>
        <stp/>
        <stp>T&amp;T0</stp>
        <stp>ACP</stp>
        <stp>477</stp>
        <tr r="B480" s="1"/>
      </tp>
      <tp t="s">
        <v>-</v>
        <stp/>
        <stp>T&amp;T0</stp>
        <stp>AGR</stp>
        <stp>435</stp>
        <tr r="F438" s="1"/>
      </tp>
      <tp t="s">
        <v>-</v>
        <stp/>
        <stp>T&amp;T0</stp>
        <stp>DAT</stp>
        <stp>153</stp>
        <tr r="A156" s="1"/>
      </tp>
      <tp t="s">
        <v>-</v>
        <stp/>
        <stp>T&amp;T0</stp>
        <stp>ACP</stp>
        <stp>470</stp>
        <tr r="B473" s="1"/>
      </tp>
      <tp t="s">
        <v>-</v>
        <stp/>
        <stp>T&amp;T0</stp>
        <stp>AGR</stp>
        <stp>432</stp>
        <tr r="F435" s="1"/>
      </tp>
      <tp t="s">
        <v>-</v>
        <stp/>
        <stp>T&amp;T0</stp>
        <stp>DAT</stp>
        <stp>154</stp>
        <tr r="A157" s="1"/>
      </tp>
      <tp t="s">
        <v>-</v>
        <stp/>
        <stp>T&amp;T0</stp>
        <stp>ACP</stp>
        <stp>471</stp>
        <tr r="B474" s="1"/>
      </tp>
      <tp t="s">
        <v>-</v>
        <stp/>
        <stp>T&amp;T0</stp>
        <stp>AGR</stp>
        <stp>433</stp>
        <tr r="F436" s="1"/>
      </tp>
      <tp t="s">
        <v>-</v>
        <stp/>
        <stp>T&amp;T0</stp>
        <stp>DAT</stp>
        <stp>155</stp>
        <tr r="A158" s="1"/>
      </tp>
      <tp t="s">
        <v>-</v>
        <stp/>
        <stp>T&amp;T0</stp>
        <stp>ACP</stp>
        <stp>472</stp>
        <tr r="B475" s="1"/>
      </tp>
      <tp t="s">
        <v>-</v>
        <stp/>
        <stp>T&amp;T0</stp>
        <stp>AGR</stp>
        <stp>430</stp>
        <tr r="F433" s="1"/>
      </tp>
      <tp t="s">
        <v>-</v>
        <stp/>
        <stp>T&amp;T0</stp>
        <stp>DAT</stp>
        <stp>156</stp>
        <tr r="A159" s="1"/>
      </tp>
      <tp t="s">
        <v>-</v>
        <stp/>
        <stp>T&amp;T0</stp>
        <stp>ACP</stp>
        <stp>473</stp>
        <tr r="B476" s="1"/>
      </tp>
      <tp t="s">
        <v>-</v>
        <stp/>
        <stp>T&amp;T0</stp>
        <stp>AGR</stp>
        <stp>431</stp>
        <tr r="F434" s="1"/>
      </tp>
      <tp t="s">
        <v>-</v>
        <stp/>
        <stp>T&amp;T0</stp>
        <stp>DAT</stp>
        <stp>157</stp>
        <tr r="A160" s="1"/>
      </tp>
      <tp t="s">
        <v>-</v>
        <stp/>
        <stp>T&amp;T0</stp>
        <stp>DAT</stp>
        <stp>158</stp>
        <tr r="A161" s="1"/>
      </tp>
      <tp t="s">
        <v>-</v>
        <stp/>
        <stp>T&amp;T0</stp>
        <stp>DAT</stp>
        <stp>159</stp>
        <tr r="A162" s="1"/>
      </tp>
      <tp t="s">
        <v>-</v>
        <stp/>
        <stp>T&amp;T0</stp>
        <stp>ACP</stp>
        <stp>478</stp>
        <tr r="B481" s="1"/>
      </tp>
      <tp t="s">
        <v>-</v>
        <stp/>
        <stp>T&amp;T0</stp>
        <stp>ACP</stp>
        <stp>479</stp>
        <tr r="B482" s="1"/>
      </tp>
      <tp t="s">
        <v>-</v>
        <stp/>
        <stp>T&amp;T0</stp>
        <stp>AGR</stp>
        <stp>438</stp>
        <tr r="F441" s="1"/>
      </tp>
      <tp t="s">
        <v>-</v>
        <stp/>
        <stp>T&amp;T0</stp>
        <stp>AGR</stp>
        <stp>439</stp>
        <tr r="F442" s="1"/>
      </tp>
      <tp t="s">
        <v>-</v>
        <stp/>
        <stp>T&amp;T0</stp>
        <stp>ACP</stp>
        <stp>464</stp>
        <tr r="B467" s="1"/>
      </tp>
      <tp t="s">
        <v>-</v>
        <stp/>
        <stp>T&amp;T0</stp>
        <stp>AGR</stp>
        <stp>426</stp>
        <tr r="F429" s="1"/>
      </tp>
      <tp t="s">
        <v>-</v>
        <stp/>
        <stp>T&amp;T0</stp>
        <stp>DAT</stp>
        <stp>140</stp>
        <tr r="A143" s="1"/>
      </tp>
      <tp t="s">
        <v>-</v>
        <stp/>
        <stp>T&amp;T0</stp>
        <stp>ACP</stp>
        <stp>465</stp>
        <tr r="B468" s="1"/>
      </tp>
      <tp t="s">
        <v>-</v>
        <stp/>
        <stp>T&amp;T0</stp>
        <stp>AGR</stp>
        <stp>427</stp>
        <tr r="F430" s="1"/>
      </tp>
      <tp t="s">
        <v>-</v>
        <stp/>
        <stp>T&amp;T0</stp>
        <stp>DAT</stp>
        <stp>141</stp>
        <tr r="A144" s="1"/>
      </tp>
      <tp t="s">
        <v>-</v>
        <stp/>
        <stp>T&amp;T0</stp>
        <stp>ACP</stp>
        <stp>466</stp>
        <tr r="B469" s="1"/>
      </tp>
      <tp t="s">
        <v>-</v>
        <stp/>
        <stp>T&amp;T0</stp>
        <stp>AGR</stp>
        <stp>424</stp>
        <tr r="F427" s="1"/>
      </tp>
      <tp t="s">
        <v>-</v>
        <stp/>
        <stp>T&amp;T0</stp>
        <stp>DAT</stp>
        <stp>142</stp>
        <tr r="A145" s="1"/>
      </tp>
      <tp t="s">
        <v>-</v>
        <stp/>
        <stp>T&amp;T0</stp>
        <stp>ACP</stp>
        <stp>467</stp>
        <tr r="B470" s="1"/>
      </tp>
      <tp t="s">
        <v>-</v>
        <stp/>
        <stp>T&amp;T0</stp>
        <stp>AGR</stp>
        <stp>425</stp>
        <tr r="F428" s="1"/>
      </tp>
      <tp t="s">
        <v>-</v>
        <stp/>
        <stp>T&amp;T0</stp>
        <stp>DAT</stp>
        <stp>143</stp>
        <tr r="A146" s="1"/>
      </tp>
      <tp t="s">
        <v>-</v>
        <stp/>
        <stp>T&amp;T0</stp>
        <stp>ACP</stp>
        <stp>460</stp>
        <tr r="B463" s="1"/>
      </tp>
      <tp t="s">
        <v>-</v>
        <stp/>
        <stp>T&amp;T0</stp>
        <stp>AGR</stp>
        <stp>422</stp>
        <tr r="F425" s="1"/>
      </tp>
      <tp t="s">
        <v>-</v>
        <stp/>
        <stp>T&amp;T0</stp>
        <stp>DAT</stp>
        <stp>144</stp>
        <tr r="A147" s="1"/>
      </tp>
      <tp t="s">
        <v>-</v>
        <stp/>
        <stp>T&amp;T0</stp>
        <stp>ACP</stp>
        <stp>461</stp>
        <tr r="B464" s="1"/>
      </tp>
      <tp t="s">
        <v>-</v>
        <stp/>
        <stp>T&amp;T0</stp>
        <stp>AGR</stp>
        <stp>423</stp>
        <tr r="F426" s="1"/>
      </tp>
      <tp t="s">
        <v>-</v>
        <stp/>
        <stp>T&amp;T0</stp>
        <stp>DAT</stp>
        <stp>145</stp>
        <tr r="A148" s="1"/>
      </tp>
      <tp t="s">
        <v>-</v>
        <stp/>
        <stp>T&amp;T0</stp>
        <stp>ACP</stp>
        <stp>462</stp>
        <tr r="B465" s="1"/>
      </tp>
      <tp t="s">
        <v>-</v>
        <stp/>
        <stp>T&amp;T0</stp>
        <stp>AGR</stp>
        <stp>420</stp>
        <tr r="F423" s="1"/>
      </tp>
      <tp t="s">
        <v>-</v>
        <stp/>
        <stp>T&amp;T0</stp>
        <stp>DAT</stp>
        <stp>146</stp>
        <tr r="A149" s="1"/>
      </tp>
      <tp t="s">
        <v>-</v>
        <stp/>
        <stp>T&amp;T0</stp>
        <stp>ACP</stp>
        <stp>463</stp>
        <tr r="B466" s="1"/>
      </tp>
      <tp t="s">
        <v>-</v>
        <stp/>
        <stp>T&amp;T0</stp>
        <stp>AGR</stp>
        <stp>421</stp>
        <tr r="F424" s="1"/>
      </tp>
      <tp t="s">
        <v>-</v>
        <stp/>
        <stp>T&amp;T0</stp>
        <stp>DAT</stp>
        <stp>147</stp>
        <tr r="A150" s="1"/>
      </tp>
      <tp t="s">
        <v>-</v>
        <stp/>
        <stp>T&amp;T0</stp>
        <stp>DAT</stp>
        <stp>148</stp>
        <tr r="A151" s="1"/>
      </tp>
      <tp t="s">
        <v>-</v>
        <stp/>
        <stp>T&amp;T0</stp>
        <stp>DAT</stp>
        <stp>149</stp>
        <tr r="A152" s="1"/>
      </tp>
      <tp t="s">
        <v>-</v>
        <stp/>
        <stp>T&amp;T0</stp>
        <stp>ACP</stp>
        <stp>468</stp>
        <tr r="B471" s="1"/>
      </tp>
      <tp t="s">
        <v>-</v>
        <stp/>
        <stp>T&amp;T0</stp>
        <stp>ACP</stp>
        <stp>469</stp>
        <tr r="B472" s="1"/>
      </tp>
      <tp t="s">
        <v>-</v>
        <stp/>
        <stp>T&amp;T0</stp>
        <stp>AGR</stp>
        <stp>428</stp>
        <tr r="F431" s="1"/>
      </tp>
      <tp t="s">
        <v>-</v>
        <stp/>
        <stp>T&amp;T0</stp>
        <stp>AGR</stp>
        <stp>429</stp>
        <tr r="F432" s="1"/>
      </tp>
      <tp t="s">
        <v>-</v>
        <stp/>
        <stp>T&amp;T0</stp>
        <stp>ACP</stp>
        <stp>454</stp>
        <tr r="B457" s="1"/>
      </tp>
      <tp t="s">
        <v>-</v>
        <stp/>
        <stp>T&amp;T0</stp>
        <stp>AGR</stp>
        <stp>416</stp>
        <tr r="F419" s="1"/>
      </tp>
      <tp t="s">
        <v>-</v>
        <stp/>
        <stp>T&amp;T0</stp>
        <stp>DAT</stp>
        <stp>170</stp>
        <tr r="A173" s="1"/>
      </tp>
      <tp t="s">
        <v>-</v>
        <stp/>
        <stp>T&amp;T0</stp>
        <stp>ACP</stp>
        <stp>455</stp>
        <tr r="B458" s="1"/>
      </tp>
      <tp t="s">
        <v>-</v>
        <stp/>
        <stp>T&amp;T0</stp>
        <stp>AGR</stp>
        <stp>417</stp>
        <tr r="F420" s="1"/>
      </tp>
      <tp t="s">
        <v>-</v>
        <stp/>
        <stp>T&amp;T0</stp>
        <stp>DAT</stp>
        <stp>171</stp>
        <tr r="A174" s="1"/>
      </tp>
      <tp t="s">
        <v>-</v>
        <stp/>
        <stp>T&amp;T0</stp>
        <stp>ACP</stp>
        <stp>456</stp>
        <tr r="B459" s="1"/>
      </tp>
      <tp t="s">
        <v>-</v>
        <stp/>
        <stp>T&amp;T0</stp>
        <stp>AGR</stp>
        <stp>414</stp>
        <tr r="F417" s="1"/>
      </tp>
      <tp t="s">
        <v>-</v>
        <stp/>
        <stp>T&amp;T0</stp>
        <stp>DAT</stp>
        <stp>172</stp>
        <tr r="A175" s="1"/>
      </tp>
      <tp t="s">
        <v>-</v>
        <stp/>
        <stp>T&amp;T0</stp>
        <stp>ACP</stp>
        <stp>457</stp>
        <tr r="B460" s="1"/>
      </tp>
      <tp t="s">
        <v>-</v>
        <stp/>
        <stp>T&amp;T0</stp>
        <stp>AGR</stp>
        <stp>415</stp>
        <tr r="F418" s="1"/>
      </tp>
      <tp t="s">
        <v>-</v>
        <stp/>
        <stp>T&amp;T0</stp>
        <stp>DAT</stp>
        <stp>173</stp>
        <tr r="A176" s="1"/>
      </tp>
      <tp t="s">
        <v>-</v>
        <stp/>
        <stp>T&amp;T0</stp>
        <stp>ACP</stp>
        <stp>450</stp>
        <tr r="B453" s="1"/>
      </tp>
      <tp t="s">
        <v>-</v>
        <stp/>
        <stp>T&amp;T0</stp>
        <stp>AGR</stp>
        <stp>412</stp>
        <tr r="F415" s="1"/>
      </tp>
      <tp t="s">
        <v>-</v>
        <stp/>
        <stp>T&amp;T0</stp>
        <stp>DAT</stp>
        <stp>174</stp>
        <tr r="A177" s="1"/>
      </tp>
      <tp t="s">
        <v>-</v>
        <stp/>
        <stp>T&amp;T0</stp>
        <stp>ACP</stp>
        <stp>451</stp>
        <tr r="B454" s="1"/>
      </tp>
      <tp t="s">
        <v>-</v>
        <stp/>
        <stp>T&amp;T0</stp>
        <stp>AGR</stp>
        <stp>413</stp>
        <tr r="F416" s="1"/>
      </tp>
      <tp t="s">
        <v>-</v>
        <stp/>
        <stp>T&amp;T0</stp>
        <stp>DAT</stp>
        <stp>175</stp>
        <tr r="A178" s="1"/>
      </tp>
      <tp t="s">
        <v>-</v>
        <stp/>
        <stp>T&amp;T0</stp>
        <stp>ACP</stp>
        <stp>452</stp>
        <tr r="B455" s="1"/>
      </tp>
      <tp t="s">
        <v>-</v>
        <stp/>
        <stp>T&amp;T0</stp>
        <stp>AGR</stp>
        <stp>410</stp>
        <tr r="F413" s="1"/>
      </tp>
      <tp t="s">
        <v>-</v>
        <stp/>
        <stp>T&amp;T0</stp>
        <stp>DAT</stp>
        <stp>176</stp>
        <tr r="A179" s="1"/>
      </tp>
      <tp t="s">
        <v>-</v>
        <stp/>
        <stp>T&amp;T0</stp>
        <stp>ACP</stp>
        <stp>453</stp>
        <tr r="B456" s="1"/>
      </tp>
      <tp t="s">
        <v>-</v>
        <stp/>
        <stp>T&amp;T0</stp>
        <stp>AGR</stp>
        <stp>411</stp>
        <tr r="F414" s="1"/>
      </tp>
      <tp t="s">
        <v>-</v>
        <stp/>
        <stp>T&amp;T0</stp>
        <stp>DAT</stp>
        <stp>177</stp>
        <tr r="A180" s="1"/>
      </tp>
      <tp t="s">
        <v>-</v>
        <stp/>
        <stp>T&amp;T0</stp>
        <stp>DAT</stp>
        <stp>178</stp>
        <tr r="A181" s="1"/>
      </tp>
      <tp t="s">
        <v>-</v>
        <stp/>
        <stp>T&amp;T0</stp>
        <stp>DAT</stp>
        <stp>179</stp>
        <tr r="A182" s="1"/>
      </tp>
      <tp t="s">
        <v>-</v>
        <stp/>
        <stp>T&amp;T0</stp>
        <stp>ACP</stp>
        <stp>458</stp>
        <tr r="B461" s="1"/>
      </tp>
      <tp t="s">
        <v>-</v>
        <stp/>
        <stp>T&amp;T0</stp>
        <stp>ACP</stp>
        <stp>459</stp>
        <tr r="B462" s="1"/>
      </tp>
      <tp t="s">
        <v>-</v>
        <stp/>
        <stp>T&amp;T0</stp>
        <stp>AGR</stp>
        <stp>418</stp>
        <tr r="F421" s="1"/>
      </tp>
      <tp t="s">
        <v>-</v>
        <stp/>
        <stp>T&amp;T0</stp>
        <stp>AGR</stp>
        <stp>419</stp>
        <tr r="F422" s="1"/>
      </tp>
      <tp t="s">
        <v>-</v>
        <stp/>
        <stp>T&amp;T0</stp>
        <stp>ACP</stp>
        <stp>444</stp>
        <tr r="B447" s="1"/>
      </tp>
      <tp t="s">
        <v>-</v>
        <stp/>
        <stp>T&amp;T0</stp>
        <stp>AGR</stp>
        <stp>406</stp>
        <tr r="F409" s="1"/>
      </tp>
      <tp t="s">
        <v>-</v>
        <stp/>
        <stp>T&amp;T0</stp>
        <stp>DAT</stp>
        <stp>160</stp>
        <tr r="A163" s="1"/>
      </tp>
      <tp t="s">
        <v>-</v>
        <stp/>
        <stp>T&amp;T0</stp>
        <stp>ACP</stp>
        <stp>445</stp>
        <tr r="B448" s="1"/>
      </tp>
      <tp t="s">
        <v>-</v>
        <stp/>
        <stp>T&amp;T0</stp>
        <stp>AGR</stp>
        <stp>407</stp>
        <tr r="F410" s="1"/>
      </tp>
      <tp t="s">
        <v>-</v>
        <stp/>
        <stp>T&amp;T0</stp>
        <stp>DAT</stp>
        <stp>161</stp>
        <tr r="A164" s="1"/>
      </tp>
      <tp t="s">
        <v>-</v>
        <stp/>
        <stp>T&amp;T0</stp>
        <stp>ACP</stp>
        <stp>446</stp>
        <tr r="B449" s="1"/>
      </tp>
      <tp t="s">
        <v>-</v>
        <stp/>
        <stp>T&amp;T0</stp>
        <stp>AGR</stp>
        <stp>404</stp>
        <tr r="F407" s="1"/>
      </tp>
      <tp t="s">
        <v>-</v>
        <stp/>
        <stp>T&amp;T0</stp>
        <stp>DAT</stp>
        <stp>162</stp>
        <tr r="A165" s="1"/>
      </tp>
      <tp t="s">
        <v>-</v>
        <stp/>
        <stp>T&amp;T0</stp>
        <stp>ACP</stp>
        <stp>447</stp>
        <tr r="B450" s="1"/>
      </tp>
      <tp t="s">
        <v>-</v>
        <stp/>
        <stp>T&amp;T0</stp>
        <stp>AGR</stp>
        <stp>405</stp>
        <tr r="F408" s="1"/>
      </tp>
      <tp t="s">
        <v>-</v>
        <stp/>
        <stp>T&amp;T0</stp>
        <stp>DAT</stp>
        <stp>163</stp>
        <tr r="A166" s="1"/>
      </tp>
      <tp t="s">
        <v>-</v>
        <stp/>
        <stp>T&amp;T0</stp>
        <stp>ACP</stp>
        <stp>440</stp>
        <tr r="B443" s="1"/>
      </tp>
      <tp t="s">
        <v>-</v>
        <stp/>
        <stp>T&amp;T0</stp>
        <stp>AGR</stp>
        <stp>402</stp>
        <tr r="F405" s="1"/>
      </tp>
      <tp t="s">
        <v>-</v>
        <stp/>
        <stp>T&amp;T0</stp>
        <stp>DAT</stp>
        <stp>164</stp>
        <tr r="A167" s="1"/>
      </tp>
      <tp t="s">
        <v>-</v>
        <stp/>
        <stp>T&amp;T0</stp>
        <stp>ACP</stp>
        <stp>441</stp>
        <tr r="B444" s="1"/>
      </tp>
      <tp t="s">
        <v>-</v>
        <stp/>
        <stp>T&amp;T0</stp>
        <stp>AGR</stp>
        <stp>403</stp>
        <tr r="F406" s="1"/>
      </tp>
      <tp t="s">
        <v>-</v>
        <stp/>
        <stp>T&amp;T0</stp>
        <stp>DAT</stp>
        <stp>165</stp>
        <tr r="A168" s="1"/>
      </tp>
      <tp t="s">
        <v>-</v>
        <stp/>
        <stp>T&amp;T0</stp>
        <stp>ACP</stp>
        <stp>442</stp>
        <tr r="B445" s="1"/>
      </tp>
      <tp t="s">
        <v>-</v>
        <stp/>
        <stp>T&amp;T0</stp>
        <stp>AGR</stp>
        <stp>400</stp>
        <tr r="F403" s="1"/>
      </tp>
      <tp t="s">
        <v>-</v>
        <stp/>
        <stp>T&amp;T0</stp>
        <stp>DAT</stp>
        <stp>166</stp>
        <tr r="A169" s="1"/>
      </tp>
      <tp t="s">
        <v>-</v>
        <stp/>
        <stp>T&amp;T0</stp>
        <stp>ACP</stp>
        <stp>443</stp>
        <tr r="B446" s="1"/>
      </tp>
      <tp t="s">
        <v>-</v>
        <stp/>
        <stp>T&amp;T0</stp>
        <stp>AGR</stp>
        <stp>401</stp>
        <tr r="F404" s="1"/>
      </tp>
      <tp t="s">
        <v>-</v>
        <stp/>
        <stp>T&amp;T0</stp>
        <stp>DAT</stp>
        <stp>167</stp>
        <tr r="A170" s="1"/>
      </tp>
      <tp t="s">
        <v>-</v>
        <stp/>
        <stp>T&amp;T0</stp>
        <stp>DAT</stp>
        <stp>168</stp>
        <tr r="A171" s="1"/>
      </tp>
      <tp t="s">
        <v>-</v>
        <stp/>
        <stp>T&amp;T0</stp>
        <stp>DAT</stp>
        <stp>169</stp>
        <tr r="A172" s="1"/>
      </tp>
      <tp t="s">
        <v>-</v>
        <stp/>
        <stp>T&amp;T0</stp>
        <stp>ACP</stp>
        <stp>448</stp>
        <tr r="B451" s="1"/>
      </tp>
      <tp t="s">
        <v>-</v>
        <stp/>
        <stp>T&amp;T0</stp>
        <stp>ACP</stp>
        <stp>449</stp>
        <tr r="B452" s="1"/>
      </tp>
      <tp t="s">
        <v>-</v>
        <stp/>
        <stp>T&amp;T0</stp>
        <stp>AGR</stp>
        <stp>408</stp>
        <tr r="F411" s="1"/>
      </tp>
      <tp t="s">
        <v>-</v>
        <stp/>
        <stp>T&amp;T0</stp>
        <stp>AGR</stp>
        <stp>409</stp>
        <tr r="F412" s="1"/>
      </tp>
      <tp t="s">
        <v>-</v>
        <stp/>
        <stp>T&amp;T0</stp>
        <stp>ACP</stp>
        <stp>434</stp>
        <tr r="B437" s="1"/>
      </tp>
      <tp t="s">
        <v>-</v>
        <stp/>
        <stp>T&amp;T0</stp>
        <stp>AGR</stp>
        <stp>476</stp>
        <tr r="F479" s="1"/>
      </tp>
      <tp t="s">
        <v>-</v>
        <stp/>
        <stp>T&amp;T0</stp>
        <stp>DAT</stp>
        <stp>110</stp>
        <tr r="A113" s="1"/>
      </tp>
      <tp t="s">
        <v>-</v>
        <stp/>
        <stp>T&amp;T0</stp>
        <stp>ACP</stp>
        <stp>435</stp>
        <tr r="B438" s="1"/>
      </tp>
      <tp t="s">
        <v>-</v>
        <stp/>
        <stp>T&amp;T0</stp>
        <stp>AGR</stp>
        <stp>477</stp>
        <tr r="F480" s="1"/>
      </tp>
      <tp t="s">
        <v>-</v>
        <stp/>
        <stp>T&amp;T0</stp>
        <stp>DAT</stp>
        <stp>111</stp>
        <tr r="A114" s="1"/>
      </tp>
      <tp t="s">
        <v>-</v>
        <stp/>
        <stp>T&amp;T0</stp>
        <stp>ACP</stp>
        <stp>436</stp>
        <tr r="B439" s="1"/>
      </tp>
      <tp t="s">
        <v>-</v>
        <stp/>
        <stp>T&amp;T0</stp>
        <stp>AGR</stp>
        <stp>474</stp>
        <tr r="F477" s="1"/>
      </tp>
      <tp t="s">
        <v>-</v>
        <stp/>
        <stp>T&amp;T0</stp>
        <stp>DAT</stp>
        <stp>112</stp>
        <tr r="A115" s="1"/>
      </tp>
      <tp t="s">
        <v>-</v>
        <stp/>
        <stp>T&amp;T0</stp>
        <stp>ACP</stp>
        <stp>437</stp>
        <tr r="B440" s="1"/>
      </tp>
      <tp t="s">
        <v>-</v>
        <stp/>
        <stp>T&amp;T0</stp>
        <stp>AGR</stp>
        <stp>475</stp>
        <tr r="F478" s="1"/>
      </tp>
      <tp t="s">
        <v>-</v>
        <stp/>
        <stp>T&amp;T0</stp>
        <stp>DAT</stp>
        <stp>113</stp>
        <tr r="A116" s="1"/>
      </tp>
      <tp t="s">
        <v>-</v>
        <stp/>
        <stp>T&amp;T0</stp>
        <stp>ACP</stp>
        <stp>430</stp>
        <tr r="B433" s="1"/>
      </tp>
      <tp t="s">
        <v>-</v>
        <stp/>
        <stp>T&amp;T0</stp>
        <stp>AGR</stp>
        <stp>472</stp>
        <tr r="F475" s="1"/>
      </tp>
      <tp t="s">
        <v>-</v>
        <stp/>
        <stp>T&amp;T0</stp>
        <stp>DAT</stp>
        <stp>114</stp>
        <tr r="A117" s="1"/>
      </tp>
      <tp t="s">
        <v>-</v>
        <stp/>
        <stp>T&amp;T0</stp>
        <stp>ACP</stp>
        <stp>431</stp>
        <tr r="B434" s="1"/>
      </tp>
      <tp t="s">
        <v>-</v>
        <stp/>
        <stp>T&amp;T0</stp>
        <stp>AGR</stp>
        <stp>473</stp>
        <tr r="F476" s="1"/>
      </tp>
      <tp t="s">
        <v>-</v>
        <stp/>
        <stp>T&amp;T0</stp>
        <stp>DAT</stp>
        <stp>115</stp>
        <tr r="A118" s="1"/>
      </tp>
      <tp t="s">
        <v>-</v>
        <stp/>
        <stp>T&amp;T0</stp>
        <stp>ACP</stp>
        <stp>432</stp>
        <tr r="B435" s="1"/>
      </tp>
      <tp t="s">
        <v>-</v>
        <stp/>
        <stp>T&amp;T0</stp>
        <stp>AGR</stp>
        <stp>470</stp>
        <tr r="F473" s="1"/>
      </tp>
      <tp t="s">
        <v>-</v>
        <stp/>
        <stp>T&amp;T0</stp>
        <stp>DAT</stp>
        <stp>116</stp>
        <tr r="A119" s="1"/>
      </tp>
      <tp t="s">
        <v>-</v>
        <stp/>
        <stp>T&amp;T0</stp>
        <stp>ACP</stp>
        <stp>433</stp>
        <tr r="B436" s="1"/>
      </tp>
      <tp t="s">
        <v>-</v>
        <stp/>
        <stp>T&amp;T0</stp>
        <stp>AGR</stp>
        <stp>471</stp>
        <tr r="F474" s="1"/>
      </tp>
      <tp t="s">
        <v>-</v>
        <stp/>
        <stp>T&amp;T0</stp>
        <stp>DAT</stp>
        <stp>117</stp>
        <tr r="A120" s="1"/>
      </tp>
      <tp t="s">
        <v>-</v>
        <stp/>
        <stp>T&amp;T0</stp>
        <stp>DAT</stp>
        <stp>118</stp>
        <tr r="A121" s="1"/>
      </tp>
      <tp t="s">
        <v>-</v>
        <stp/>
        <stp>T&amp;T0</stp>
        <stp>DAT</stp>
        <stp>119</stp>
        <tr r="A122" s="1"/>
      </tp>
      <tp t="s">
        <v>-</v>
        <stp/>
        <stp>T&amp;T0</stp>
        <stp>ACP</stp>
        <stp>438</stp>
        <tr r="B441" s="1"/>
      </tp>
      <tp t="s">
        <v>-</v>
        <stp/>
        <stp>T&amp;T0</stp>
        <stp>ACP</stp>
        <stp>439</stp>
        <tr r="B442" s="1"/>
      </tp>
      <tp t="s">
        <v>-</v>
        <stp/>
        <stp>T&amp;T0</stp>
        <stp>AGR</stp>
        <stp>478</stp>
        <tr r="F481" s="1"/>
      </tp>
      <tp t="s">
        <v>-</v>
        <stp/>
        <stp>T&amp;T0</stp>
        <stp>AGR</stp>
        <stp>479</stp>
        <tr r="F482" s="1"/>
      </tp>
      <tp t="s">
        <v>-</v>
        <stp/>
        <stp>T&amp;T0</stp>
        <stp>ACP</stp>
        <stp>424</stp>
        <tr r="B427" s="1"/>
      </tp>
      <tp t="s">
        <v>-</v>
        <stp/>
        <stp>T&amp;T0</stp>
        <stp>AGR</stp>
        <stp>466</stp>
        <tr r="F469" s="1"/>
      </tp>
      <tp t="s">
        <v>-</v>
        <stp/>
        <stp>T&amp;T0</stp>
        <stp>DAT</stp>
        <stp>100</stp>
        <tr r="A103" s="1"/>
      </tp>
      <tp t="s">
        <v>-</v>
        <stp/>
        <stp>T&amp;T0</stp>
        <stp>ACP</stp>
        <stp>425</stp>
        <tr r="B428" s="1"/>
      </tp>
      <tp t="s">
        <v>-</v>
        <stp/>
        <stp>T&amp;T0</stp>
        <stp>AGR</stp>
        <stp>467</stp>
        <tr r="F470" s="1"/>
      </tp>
      <tp t="s">
        <v>-</v>
        <stp/>
        <stp>T&amp;T0</stp>
        <stp>DAT</stp>
        <stp>101</stp>
        <tr r="A104" s="1"/>
      </tp>
      <tp t="s">
        <v>-</v>
        <stp/>
        <stp>T&amp;T0</stp>
        <stp>ACP</stp>
        <stp>426</stp>
        <tr r="B429" s="1"/>
      </tp>
      <tp t="s">
        <v>-</v>
        <stp/>
        <stp>T&amp;T0</stp>
        <stp>AGR</stp>
        <stp>464</stp>
        <tr r="F467" s="1"/>
      </tp>
      <tp t="s">
        <v>-</v>
        <stp/>
        <stp>T&amp;T0</stp>
        <stp>DAT</stp>
        <stp>102</stp>
        <tr r="A105" s="1"/>
      </tp>
      <tp t="s">
        <v>-</v>
        <stp/>
        <stp>T&amp;T0</stp>
        <stp>ACP</stp>
        <stp>427</stp>
        <tr r="B430" s="1"/>
      </tp>
      <tp t="s">
        <v>-</v>
        <stp/>
        <stp>T&amp;T0</stp>
        <stp>AGR</stp>
        <stp>465</stp>
        <tr r="F468" s="1"/>
      </tp>
      <tp t="s">
        <v>-</v>
        <stp/>
        <stp>T&amp;T0</stp>
        <stp>DAT</stp>
        <stp>103</stp>
        <tr r="A106" s="1"/>
      </tp>
      <tp t="s">
        <v>-</v>
        <stp/>
        <stp>T&amp;T0</stp>
        <stp>ACP</stp>
        <stp>420</stp>
        <tr r="B423" s="1"/>
      </tp>
      <tp t="s">
        <v>-</v>
        <stp/>
        <stp>T&amp;T0</stp>
        <stp>AGR</stp>
        <stp>462</stp>
        <tr r="F465" s="1"/>
      </tp>
      <tp t="s">
        <v>-</v>
        <stp/>
        <stp>T&amp;T0</stp>
        <stp>DAT</stp>
        <stp>104</stp>
        <tr r="A107" s="1"/>
      </tp>
      <tp t="s">
        <v>-</v>
        <stp/>
        <stp>T&amp;T0</stp>
        <stp>ACP</stp>
        <stp>421</stp>
        <tr r="B424" s="1"/>
      </tp>
      <tp t="s">
        <v>-</v>
        <stp/>
        <stp>T&amp;T0</stp>
        <stp>AGR</stp>
        <stp>463</stp>
        <tr r="F466" s="1"/>
      </tp>
      <tp t="s">
        <v>-</v>
        <stp/>
        <stp>T&amp;T0</stp>
        <stp>DAT</stp>
        <stp>105</stp>
        <tr r="A108" s="1"/>
      </tp>
      <tp t="s">
        <v>-</v>
        <stp/>
        <stp>T&amp;T0</stp>
        <stp>ACP</stp>
        <stp>422</stp>
        <tr r="B425" s="1"/>
      </tp>
      <tp t="s">
        <v>-</v>
        <stp/>
        <stp>T&amp;T0</stp>
        <stp>AGR</stp>
        <stp>460</stp>
        <tr r="F463" s="1"/>
      </tp>
      <tp t="s">
        <v>-</v>
        <stp/>
        <stp>T&amp;T0</stp>
        <stp>DAT</stp>
        <stp>106</stp>
        <tr r="A109" s="1"/>
      </tp>
      <tp t="s">
        <v>-</v>
        <stp/>
        <stp>T&amp;T0</stp>
        <stp>ACP</stp>
        <stp>423</stp>
        <tr r="B426" s="1"/>
      </tp>
      <tp t="s">
        <v>-</v>
        <stp/>
        <stp>T&amp;T0</stp>
        <stp>AGR</stp>
        <stp>461</stp>
        <tr r="F464" s="1"/>
      </tp>
      <tp t="s">
        <v>-</v>
        <stp/>
        <stp>T&amp;T0</stp>
        <stp>DAT</stp>
        <stp>107</stp>
        <tr r="A110" s="1"/>
      </tp>
      <tp t="s">
        <v>-</v>
        <stp/>
        <stp>T&amp;T0</stp>
        <stp>DAT</stp>
        <stp>108</stp>
        <tr r="A111" s="1"/>
      </tp>
      <tp t="s">
        <v>-</v>
        <stp/>
        <stp>T&amp;T0</stp>
        <stp>DAT</stp>
        <stp>109</stp>
        <tr r="A112" s="1"/>
      </tp>
      <tp t="s">
        <v>-</v>
        <stp/>
        <stp>T&amp;T0</stp>
        <stp>ACP</stp>
        <stp>428</stp>
        <tr r="B431" s="1"/>
      </tp>
      <tp t="s">
        <v>-</v>
        <stp/>
        <stp>T&amp;T0</stp>
        <stp>ACP</stp>
        <stp>429</stp>
        <tr r="B432" s="1"/>
      </tp>
      <tp t="s">
        <v>-</v>
        <stp/>
        <stp>T&amp;T0</stp>
        <stp>AGR</stp>
        <stp>468</stp>
        <tr r="F471" s="1"/>
      </tp>
      <tp t="s">
        <v>-</v>
        <stp/>
        <stp>T&amp;T0</stp>
        <stp>AGR</stp>
        <stp>469</stp>
        <tr r="F472" s="1"/>
      </tp>
      <tp t="s">
        <v>-</v>
        <stp/>
        <stp>T&amp;T0</stp>
        <stp>ACP</stp>
        <stp>414</stp>
        <tr r="B417" s="1"/>
      </tp>
      <tp t="s">
        <v>-</v>
        <stp/>
        <stp>T&amp;T0</stp>
        <stp>AGR</stp>
        <stp>456</stp>
        <tr r="F459" s="1"/>
      </tp>
      <tp t="s">
        <v>-</v>
        <stp/>
        <stp>T&amp;T0</stp>
        <stp>DAT</stp>
        <stp>130</stp>
        <tr r="A133" s="1"/>
      </tp>
      <tp t="s">
        <v>-</v>
        <stp/>
        <stp>T&amp;T0</stp>
        <stp>ACP</stp>
        <stp>415</stp>
        <tr r="B418" s="1"/>
      </tp>
      <tp t="s">
        <v>-</v>
        <stp/>
        <stp>T&amp;T0</stp>
        <stp>AGR</stp>
        <stp>457</stp>
        <tr r="F460" s="1"/>
      </tp>
      <tp t="s">
        <v>-</v>
        <stp/>
        <stp>T&amp;T0</stp>
        <stp>DAT</stp>
        <stp>131</stp>
        <tr r="A134" s="1"/>
      </tp>
      <tp t="s">
        <v>-</v>
        <stp/>
        <stp>T&amp;T0</stp>
        <stp>ACP</stp>
        <stp>416</stp>
        <tr r="B419" s="1"/>
      </tp>
      <tp t="s">
        <v>-</v>
        <stp/>
        <stp>T&amp;T0</stp>
        <stp>AGR</stp>
        <stp>454</stp>
        <tr r="F457" s="1"/>
      </tp>
      <tp t="s">
        <v>-</v>
        <stp/>
        <stp>T&amp;T0</stp>
        <stp>DAT</stp>
        <stp>132</stp>
        <tr r="A135" s="1"/>
      </tp>
      <tp t="s">
        <v>-</v>
        <stp/>
        <stp>T&amp;T0</stp>
        <stp>ACP</stp>
        <stp>417</stp>
        <tr r="B420" s="1"/>
      </tp>
      <tp t="s">
        <v>-</v>
        <stp/>
        <stp>T&amp;T0</stp>
        <stp>AGR</stp>
        <stp>455</stp>
        <tr r="F458" s="1"/>
      </tp>
      <tp t="s">
        <v>-</v>
        <stp/>
        <stp>T&amp;T0</stp>
        <stp>DAT</stp>
        <stp>133</stp>
        <tr r="A136" s="1"/>
      </tp>
      <tp t="s">
        <v>-</v>
        <stp/>
        <stp>T&amp;T0</stp>
        <stp>ACP</stp>
        <stp>410</stp>
        <tr r="B413" s="1"/>
      </tp>
      <tp t="s">
        <v>-</v>
        <stp/>
        <stp>T&amp;T0</stp>
        <stp>AGR</stp>
        <stp>452</stp>
        <tr r="F455" s="1"/>
      </tp>
      <tp t="s">
        <v>-</v>
        <stp/>
        <stp>T&amp;T0</stp>
        <stp>DAT</stp>
        <stp>134</stp>
        <tr r="A137" s="1"/>
      </tp>
      <tp t="s">
        <v>-</v>
        <stp/>
        <stp>T&amp;T0</stp>
        <stp>ACP</stp>
        <stp>411</stp>
        <tr r="B414" s="1"/>
      </tp>
      <tp t="s">
        <v>-</v>
        <stp/>
        <stp>T&amp;T0</stp>
        <stp>AGR</stp>
        <stp>453</stp>
        <tr r="F456" s="1"/>
      </tp>
      <tp t="s">
        <v>-</v>
        <stp/>
        <stp>T&amp;T0</stp>
        <stp>DAT</stp>
        <stp>135</stp>
        <tr r="A138" s="1"/>
      </tp>
      <tp t="s">
        <v>-</v>
        <stp/>
        <stp>T&amp;T0</stp>
        <stp>ACP</stp>
        <stp>412</stp>
        <tr r="B415" s="1"/>
      </tp>
      <tp t="s">
        <v>-</v>
        <stp/>
        <stp>T&amp;T0</stp>
        <stp>AGR</stp>
        <stp>450</stp>
        <tr r="F453" s="1"/>
      </tp>
      <tp t="s">
        <v>-</v>
        <stp/>
        <stp>T&amp;T0</stp>
        <stp>DAT</stp>
        <stp>136</stp>
        <tr r="A139" s="1"/>
      </tp>
      <tp t="s">
        <v>-</v>
        <stp/>
        <stp>T&amp;T0</stp>
        <stp>ACP</stp>
        <stp>413</stp>
        <tr r="B416" s="1"/>
      </tp>
      <tp t="s">
        <v>-</v>
        <stp/>
        <stp>T&amp;T0</stp>
        <stp>AGR</stp>
        <stp>451</stp>
        <tr r="F454" s="1"/>
      </tp>
      <tp t="s">
        <v>-</v>
        <stp/>
        <stp>T&amp;T0</stp>
        <stp>DAT</stp>
        <stp>137</stp>
        <tr r="A140" s="1"/>
      </tp>
      <tp t="s">
        <v>-</v>
        <stp/>
        <stp>T&amp;T0</stp>
        <stp>DAT</stp>
        <stp>138</stp>
        <tr r="A141" s="1"/>
      </tp>
      <tp t="s">
        <v>-</v>
        <stp/>
        <stp>T&amp;T0</stp>
        <stp>DAT</stp>
        <stp>139</stp>
        <tr r="A142" s="1"/>
      </tp>
      <tp t="s">
        <v>-</v>
        <stp/>
        <stp>T&amp;T0</stp>
        <stp>ACP</stp>
        <stp>418</stp>
        <tr r="B421" s="1"/>
      </tp>
      <tp t="s">
        <v>-</v>
        <stp/>
        <stp>T&amp;T0</stp>
        <stp>ACP</stp>
        <stp>419</stp>
        <tr r="B422" s="1"/>
      </tp>
      <tp t="s">
        <v>-</v>
        <stp/>
        <stp>T&amp;T0</stp>
        <stp>AGR</stp>
        <stp>458</stp>
        <tr r="F461" s="1"/>
      </tp>
      <tp t="s">
        <v>-</v>
        <stp/>
        <stp>T&amp;T0</stp>
        <stp>AGR</stp>
        <stp>459</stp>
        <tr r="F462" s="1"/>
      </tp>
      <tp t="s">
        <v>-</v>
        <stp/>
        <stp>T&amp;T0</stp>
        <stp>ACP</stp>
        <stp>404</stp>
        <tr r="B407" s="1"/>
      </tp>
      <tp t="s">
        <v>-</v>
        <stp/>
        <stp>T&amp;T0</stp>
        <stp>AGR</stp>
        <stp>446</stp>
        <tr r="F449" s="1"/>
      </tp>
      <tp t="s">
        <v>-</v>
        <stp/>
        <stp>T&amp;T0</stp>
        <stp>DAT</stp>
        <stp>120</stp>
        <tr r="A123" s="1"/>
      </tp>
      <tp t="s">
        <v>-</v>
        <stp/>
        <stp>T&amp;T0</stp>
        <stp>ACP</stp>
        <stp>405</stp>
        <tr r="B408" s="1"/>
      </tp>
      <tp t="s">
        <v>-</v>
        <stp/>
        <stp>T&amp;T0</stp>
        <stp>AGR</stp>
        <stp>447</stp>
        <tr r="F450" s="1"/>
      </tp>
      <tp t="s">
        <v>-</v>
        <stp/>
        <stp>T&amp;T0</stp>
        <stp>DAT</stp>
        <stp>121</stp>
        <tr r="A124" s="1"/>
      </tp>
      <tp t="s">
        <v>-</v>
        <stp/>
        <stp>T&amp;T0</stp>
        <stp>ACP</stp>
        <stp>406</stp>
        <tr r="B409" s="1"/>
      </tp>
      <tp t="s">
        <v>-</v>
        <stp/>
        <stp>T&amp;T0</stp>
        <stp>AGR</stp>
        <stp>444</stp>
        <tr r="F447" s="1"/>
      </tp>
      <tp t="s">
        <v>-</v>
        <stp/>
        <stp>T&amp;T0</stp>
        <stp>DAT</stp>
        <stp>122</stp>
        <tr r="A125" s="1"/>
      </tp>
      <tp t="s">
        <v>-</v>
        <stp/>
        <stp>T&amp;T0</stp>
        <stp>ACP</stp>
        <stp>407</stp>
        <tr r="B410" s="1"/>
      </tp>
      <tp t="s">
        <v>-</v>
        <stp/>
        <stp>T&amp;T0</stp>
        <stp>AGR</stp>
        <stp>445</stp>
        <tr r="F448" s="1"/>
      </tp>
      <tp t="s">
        <v>-</v>
        <stp/>
        <stp>T&amp;T0</stp>
        <stp>DAT</stp>
        <stp>123</stp>
        <tr r="A126" s="1"/>
      </tp>
      <tp t="s">
        <v>-</v>
        <stp/>
        <stp>T&amp;T0</stp>
        <stp>ACP</stp>
        <stp>400</stp>
        <tr r="B403" s="1"/>
      </tp>
      <tp t="s">
        <v>-</v>
        <stp/>
        <stp>T&amp;T0</stp>
        <stp>AGR</stp>
        <stp>442</stp>
        <tr r="F445" s="1"/>
      </tp>
      <tp t="s">
        <v>-</v>
        <stp/>
        <stp>T&amp;T0</stp>
        <stp>DAT</stp>
        <stp>124</stp>
        <tr r="A127" s="1"/>
      </tp>
      <tp t="s">
        <v>-</v>
        <stp/>
        <stp>T&amp;T0</stp>
        <stp>ACP</stp>
        <stp>401</stp>
        <tr r="B404" s="1"/>
      </tp>
      <tp t="s">
        <v>-</v>
        <stp/>
        <stp>T&amp;T0</stp>
        <stp>AGR</stp>
        <stp>443</stp>
        <tr r="F446" s="1"/>
      </tp>
      <tp t="s">
        <v>-</v>
        <stp/>
        <stp>T&amp;T0</stp>
        <stp>DAT</stp>
        <stp>125</stp>
        <tr r="A128" s="1"/>
      </tp>
      <tp t="s">
        <v>-</v>
        <stp/>
        <stp>T&amp;T0</stp>
        <stp>ACP</stp>
        <stp>402</stp>
        <tr r="B405" s="1"/>
      </tp>
      <tp t="s">
        <v>-</v>
        <stp/>
        <stp>T&amp;T0</stp>
        <stp>AGR</stp>
        <stp>440</stp>
        <tr r="F443" s="1"/>
      </tp>
      <tp t="s">
        <v>-</v>
        <stp/>
        <stp>T&amp;T0</stp>
        <stp>DAT</stp>
        <stp>126</stp>
        <tr r="A129" s="1"/>
      </tp>
      <tp t="s">
        <v>-</v>
        <stp/>
        <stp>T&amp;T0</stp>
        <stp>ACP</stp>
        <stp>403</stp>
        <tr r="B406" s="1"/>
      </tp>
      <tp t="s">
        <v>-</v>
        <stp/>
        <stp>T&amp;T0</stp>
        <stp>AGR</stp>
        <stp>441</stp>
        <tr r="F444" s="1"/>
      </tp>
      <tp t="s">
        <v>-</v>
        <stp/>
        <stp>T&amp;T0</stp>
        <stp>DAT</stp>
        <stp>127</stp>
        <tr r="A130" s="1"/>
      </tp>
      <tp t="s">
        <v>-</v>
        <stp/>
        <stp>T&amp;T0</stp>
        <stp>DAT</stp>
        <stp>128</stp>
        <tr r="A131" s="1"/>
      </tp>
      <tp t="s">
        <v>-</v>
        <stp/>
        <stp>T&amp;T0</stp>
        <stp>DAT</stp>
        <stp>129</stp>
        <tr r="A132" s="1"/>
      </tp>
      <tp t="s">
        <v>-</v>
        <stp/>
        <stp>T&amp;T0</stp>
        <stp>ACP</stp>
        <stp>408</stp>
        <tr r="B411" s="1"/>
      </tp>
      <tp t="s">
        <v>-</v>
        <stp/>
        <stp>T&amp;T0</stp>
        <stp>ACP</stp>
        <stp>409</stp>
        <tr r="B412" s="1"/>
      </tp>
      <tp t="s">
        <v>-</v>
        <stp/>
        <stp>T&amp;T0</stp>
        <stp>AGR</stp>
        <stp>448</stp>
        <tr r="F451" s="1"/>
      </tp>
      <tp t="s">
        <v>-</v>
        <stp/>
        <stp>T&amp;T0</stp>
        <stp>AGR</stp>
        <stp>449</stp>
        <tr r="F452" s="1"/>
      </tp>
      <tp t="s">
        <v>-</v>
        <stp/>
        <stp>T&amp;T0</stp>
        <stp>AVD</stp>
        <stp>480</stp>
        <tr r="E483" s="1"/>
      </tp>
      <tp t="s">
        <v>-</v>
        <stp/>
        <stp>T&amp;T0</stp>
        <stp>AVD</stp>
        <stp>481</stp>
        <tr r="E484" s="1"/>
      </tp>
      <tp t="s">
        <v>-</v>
        <stp/>
        <stp>T&amp;T0</stp>
        <stp>AVD</stp>
        <stp>482</stp>
        <tr r="E485" s="1"/>
      </tp>
      <tp t="s">
        <v>-</v>
        <stp/>
        <stp>T&amp;T0</stp>
        <stp>AVD</stp>
        <stp>483</stp>
        <tr r="E486" s="1"/>
      </tp>
      <tp t="s">
        <v>-</v>
        <stp/>
        <stp>T&amp;T0</stp>
        <stp>AVD</stp>
        <stp>484</stp>
        <tr r="E487" s="1"/>
      </tp>
      <tp t="s">
        <v>-</v>
        <stp/>
        <stp>T&amp;T0</stp>
        <stp>AVD</stp>
        <stp>485</stp>
        <tr r="E488" s="1"/>
      </tp>
      <tp t="s">
        <v>-</v>
        <stp/>
        <stp>T&amp;T0</stp>
        <stp>AVD</stp>
        <stp>486</stp>
        <tr r="E489" s="1"/>
      </tp>
      <tp t="s">
        <v>-</v>
        <stp/>
        <stp>T&amp;T0</stp>
        <stp>AVD</stp>
        <stp>487</stp>
        <tr r="E490" s="1"/>
      </tp>
      <tp t="s">
        <v>-</v>
        <stp/>
        <stp>T&amp;T0</stp>
        <stp>AVD</stp>
        <stp>488</stp>
        <tr r="E491" s="1"/>
      </tp>
      <tp t="s">
        <v>-</v>
        <stp/>
        <stp>T&amp;T0</stp>
        <stp>AVD</stp>
        <stp>489</stp>
        <tr r="E492" s="1"/>
      </tp>
      <tp t="s">
        <v>-</v>
        <stp/>
        <stp>T&amp;T0</stp>
        <stp>AVD</stp>
        <stp>490</stp>
        <tr r="E493" s="1"/>
      </tp>
      <tp t="s">
        <v>-</v>
        <stp/>
        <stp>T&amp;T0</stp>
        <stp>AVD</stp>
        <stp>491</stp>
        <tr r="E494" s="1"/>
      </tp>
      <tp t="s">
        <v>-</v>
        <stp/>
        <stp>T&amp;T0</stp>
        <stp>AVD</stp>
        <stp>492</stp>
        <tr r="E495" s="1"/>
      </tp>
      <tp t="s">
        <v>-</v>
        <stp/>
        <stp>T&amp;T0</stp>
        <stp>AVD</stp>
        <stp>493</stp>
        <tr r="E496" s="1"/>
      </tp>
      <tp t="s">
        <v>-</v>
        <stp/>
        <stp>T&amp;T0</stp>
        <stp>AVD</stp>
        <stp>494</stp>
        <tr r="E497" s="1"/>
      </tp>
      <tp t="s">
        <v>-</v>
        <stp/>
        <stp>T&amp;T0</stp>
        <stp>AVD</stp>
        <stp>495</stp>
        <tr r="E498" s="1"/>
      </tp>
      <tp t="s">
        <v>-</v>
        <stp/>
        <stp>T&amp;T0</stp>
        <stp>AVD</stp>
        <stp>496</stp>
        <tr r="E499" s="1"/>
      </tp>
      <tp t="s">
        <v>-</v>
        <stp/>
        <stp>T&amp;T0</stp>
        <stp>AVD</stp>
        <stp>497</stp>
        <tr r="E500" s="1"/>
      </tp>
      <tp t="s">
        <v>-</v>
        <stp/>
        <stp>T&amp;T0</stp>
        <stp>AVD</stp>
        <stp>498</stp>
        <tr r="E501" s="1"/>
      </tp>
      <tp t="s">
        <v>-</v>
        <stp/>
        <stp>T&amp;T0</stp>
        <stp>AVD</stp>
        <stp>499</stp>
        <tr r="E502" s="1"/>
        <tr r="E503" s="1"/>
      </tp>
      <tp t="s">
        <v>-</v>
        <stp/>
        <stp>T&amp;T0</stp>
        <stp>AVD</stp>
        <stp>420</stp>
        <tr r="E423" s="1"/>
      </tp>
      <tp t="s">
        <v>-</v>
        <stp/>
        <stp>T&amp;T0</stp>
        <stp>AVD</stp>
        <stp>421</stp>
        <tr r="E424" s="1"/>
      </tp>
      <tp t="s">
        <v>-</v>
        <stp/>
        <stp>T&amp;T0</stp>
        <stp>AVD</stp>
        <stp>422</stp>
        <tr r="E425" s="1"/>
      </tp>
      <tp t="s">
        <v>-</v>
        <stp/>
        <stp>T&amp;T0</stp>
        <stp>AVD</stp>
        <stp>423</stp>
        <tr r="E426" s="1"/>
      </tp>
      <tp t="s">
        <v>-</v>
        <stp/>
        <stp>T&amp;T0</stp>
        <stp>AVD</stp>
        <stp>424</stp>
        <tr r="E427" s="1"/>
      </tp>
      <tp t="s">
        <v>-</v>
        <stp/>
        <stp>T&amp;T0</stp>
        <stp>AVD</stp>
        <stp>425</stp>
        <tr r="E428" s="1"/>
      </tp>
      <tp t="s">
        <v>-</v>
        <stp/>
        <stp>T&amp;T0</stp>
        <stp>AVD</stp>
        <stp>426</stp>
        <tr r="E429" s="1"/>
      </tp>
      <tp t="s">
        <v>-</v>
        <stp/>
        <stp>T&amp;T0</stp>
        <stp>AVD</stp>
        <stp>427</stp>
        <tr r="E430" s="1"/>
      </tp>
      <tp t="s">
        <v>-</v>
        <stp/>
        <stp>T&amp;T0</stp>
        <stp>AVD</stp>
        <stp>428</stp>
        <tr r="E431" s="1"/>
      </tp>
      <tp t="s">
        <v>-</v>
        <stp/>
        <stp>T&amp;T0</stp>
        <stp>AVD</stp>
        <stp>429</stp>
        <tr r="E432" s="1"/>
      </tp>
      <tp t="s">
        <v>-</v>
        <stp/>
        <stp>T&amp;T0</stp>
        <stp>AVD</stp>
        <stp>430</stp>
        <tr r="E433" s="1"/>
      </tp>
      <tp t="s">
        <v>-</v>
        <stp/>
        <stp>T&amp;T0</stp>
        <stp>AVD</stp>
        <stp>431</stp>
        <tr r="E434" s="1"/>
      </tp>
      <tp t="s">
        <v>-</v>
        <stp/>
        <stp>T&amp;T0</stp>
        <stp>AVD</stp>
        <stp>432</stp>
        <tr r="E435" s="1"/>
      </tp>
      <tp t="s">
        <v>-</v>
        <stp/>
        <stp>T&amp;T0</stp>
        <stp>AVD</stp>
        <stp>433</stp>
        <tr r="E436" s="1"/>
      </tp>
      <tp t="s">
        <v>-</v>
        <stp/>
        <stp>T&amp;T0</stp>
        <stp>AVD</stp>
        <stp>434</stp>
        <tr r="E437" s="1"/>
      </tp>
      <tp t="s">
        <v>-</v>
        <stp/>
        <stp>T&amp;T0</stp>
        <stp>AVD</stp>
        <stp>435</stp>
        <tr r="E438" s="1"/>
      </tp>
      <tp t="s">
        <v>-</v>
        <stp/>
        <stp>T&amp;T0</stp>
        <stp>AVD</stp>
        <stp>436</stp>
        <tr r="E439" s="1"/>
      </tp>
      <tp t="s">
        <v>-</v>
        <stp/>
        <stp>T&amp;T0</stp>
        <stp>AVD</stp>
        <stp>437</stp>
        <tr r="E440" s="1"/>
      </tp>
      <tp t="s">
        <v>-</v>
        <stp/>
        <stp>T&amp;T0</stp>
        <stp>AVD</stp>
        <stp>438</stp>
        <tr r="E441" s="1"/>
      </tp>
      <tp t="s">
        <v>-</v>
        <stp/>
        <stp>T&amp;T0</stp>
        <stp>AVD</stp>
        <stp>439</stp>
        <tr r="E442" s="1"/>
      </tp>
      <tp t="s">
        <v>-</v>
        <stp/>
        <stp>T&amp;T0</stp>
        <stp>AVD</stp>
        <stp>400</stp>
        <tr r="E403" s="1"/>
      </tp>
      <tp t="s">
        <v>-</v>
        <stp/>
        <stp>T&amp;T0</stp>
        <stp>AVD</stp>
        <stp>401</stp>
        <tr r="E404" s="1"/>
      </tp>
      <tp t="s">
        <v>-</v>
        <stp/>
        <stp>T&amp;T0</stp>
        <stp>AVD</stp>
        <stp>402</stp>
        <tr r="E405" s="1"/>
      </tp>
      <tp t="s">
        <v>-</v>
        <stp/>
        <stp>T&amp;T0</stp>
        <stp>AVD</stp>
        <stp>403</stp>
        <tr r="E406" s="1"/>
      </tp>
      <tp t="s">
        <v>-</v>
        <stp/>
        <stp>T&amp;T0</stp>
        <stp>AVD</stp>
        <stp>404</stp>
        <tr r="E407" s="1"/>
      </tp>
      <tp t="s">
        <v>-</v>
        <stp/>
        <stp>T&amp;T0</stp>
        <stp>AVD</stp>
        <stp>405</stp>
        <tr r="E408" s="1"/>
      </tp>
      <tp t="s">
        <v>-</v>
        <stp/>
        <stp>T&amp;T0</stp>
        <stp>AVD</stp>
        <stp>406</stp>
        <tr r="E409" s="1"/>
      </tp>
      <tp t="s">
        <v>-</v>
        <stp/>
        <stp>T&amp;T0</stp>
        <stp>AVD</stp>
        <stp>407</stp>
        <tr r="E410" s="1"/>
      </tp>
      <tp t="s">
        <v>-</v>
        <stp/>
        <stp>T&amp;T0</stp>
        <stp>AVD</stp>
        <stp>408</stp>
        <tr r="E411" s="1"/>
      </tp>
      <tp t="s">
        <v>-</v>
        <stp/>
        <stp>T&amp;T0</stp>
        <stp>AVD</stp>
        <stp>409</stp>
        <tr r="E412" s="1"/>
      </tp>
      <tp t="s">
        <v>-</v>
        <stp/>
        <stp>T&amp;T0</stp>
        <stp>AVD</stp>
        <stp>410</stp>
        <tr r="E413" s="1"/>
      </tp>
      <tp t="s">
        <v>-</v>
        <stp/>
        <stp>T&amp;T0</stp>
        <stp>AVD</stp>
        <stp>411</stp>
        <tr r="E414" s="1"/>
      </tp>
      <tp t="s">
        <v>-</v>
        <stp/>
        <stp>T&amp;T0</stp>
        <stp>AVD</stp>
        <stp>412</stp>
        <tr r="E415" s="1"/>
      </tp>
      <tp t="s">
        <v>-</v>
        <stp/>
        <stp>T&amp;T0</stp>
        <stp>AVD</stp>
        <stp>413</stp>
        <tr r="E416" s="1"/>
      </tp>
      <tp t="s">
        <v>-</v>
        <stp/>
        <stp>T&amp;T0</stp>
        <stp>AVD</stp>
        <stp>414</stp>
        <tr r="E417" s="1"/>
      </tp>
      <tp t="s">
        <v>-</v>
        <stp/>
        <stp>T&amp;T0</stp>
        <stp>AVD</stp>
        <stp>415</stp>
        <tr r="E418" s="1"/>
      </tp>
      <tp t="s">
        <v>-</v>
        <stp/>
        <stp>T&amp;T0</stp>
        <stp>AVD</stp>
        <stp>416</stp>
        <tr r="E419" s="1"/>
      </tp>
      <tp t="s">
        <v>-</v>
        <stp/>
        <stp>T&amp;T0</stp>
        <stp>AVD</stp>
        <stp>417</stp>
        <tr r="E420" s="1"/>
      </tp>
      <tp t="s">
        <v>-</v>
        <stp/>
        <stp>T&amp;T0</stp>
        <stp>AVD</stp>
        <stp>418</stp>
        <tr r="E421" s="1"/>
      </tp>
      <tp t="s">
        <v>-</v>
        <stp/>
        <stp>T&amp;T0</stp>
        <stp>AVD</stp>
        <stp>419</stp>
        <tr r="E422" s="1"/>
      </tp>
      <tp t="s">
        <v>-</v>
        <stp/>
        <stp>T&amp;T0</stp>
        <stp>AVD</stp>
        <stp>460</stp>
        <tr r="E463" s="1"/>
      </tp>
      <tp t="s">
        <v>-</v>
        <stp/>
        <stp>T&amp;T0</stp>
        <stp>AVD</stp>
        <stp>461</stp>
        <tr r="E464" s="1"/>
      </tp>
      <tp t="s">
        <v>-</v>
        <stp/>
        <stp>T&amp;T0</stp>
        <stp>AVD</stp>
        <stp>462</stp>
        <tr r="E465" s="1"/>
      </tp>
      <tp t="s">
        <v>-</v>
        <stp/>
        <stp>T&amp;T0</stp>
        <stp>AVD</stp>
        <stp>463</stp>
        <tr r="E466" s="1"/>
      </tp>
      <tp t="s">
        <v>-</v>
        <stp/>
        <stp>T&amp;T0</stp>
        <stp>AVD</stp>
        <stp>464</stp>
        <tr r="E467" s="1"/>
      </tp>
      <tp t="s">
        <v>-</v>
        <stp/>
        <stp>T&amp;T0</stp>
        <stp>AVD</stp>
        <stp>465</stp>
        <tr r="E468" s="1"/>
      </tp>
      <tp t="s">
        <v>-</v>
        <stp/>
        <stp>T&amp;T0</stp>
        <stp>AVD</stp>
        <stp>466</stp>
        <tr r="E469" s="1"/>
      </tp>
      <tp t="s">
        <v>-</v>
        <stp/>
        <stp>T&amp;T0</stp>
        <stp>AVD</stp>
        <stp>467</stp>
        <tr r="E470" s="1"/>
      </tp>
      <tp t="s">
        <v>-</v>
        <stp/>
        <stp>T&amp;T0</stp>
        <stp>AVD</stp>
        <stp>468</stp>
        <tr r="E471" s="1"/>
      </tp>
      <tp t="s">
        <v>-</v>
        <stp/>
        <stp>T&amp;T0</stp>
        <stp>AVD</stp>
        <stp>469</stp>
        <tr r="E472" s="1"/>
      </tp>
      <tp t="s">
        <v>-</v>
        <stp/>
        <stp>T&amp;T0</stp>
        <stp>AVD</stp>
        <stp>470</stp>
        <tr r="E473" s="1"/>
      </tp>
      <tp t="s">
        <v>-</v>
        <stp/>
        <stp>T&amp;T0</stp>
        <stp>AVD</stp>
        <stp>471</stp>
        <tr r="E474" s="1"/>
      </tp>
      <tp t="s">
        <v>-</v>
        <stp/>
        <stp>T&amp;T0</stp>
        <stp>AVD</stp>
        <stp>472</stp>
        <tr r="E475" s="1"/>
      </tp>
      <tp t="s">
        <v>-</v>
        <stp/>
        <stp>T&amp;T0</stp>
        <stp>AVD</stp>
        <stp>473</stp>
        <tr r="E476" s="1"/>
      </tp>
      <tp t="s">
        <v>-</v>
        <stp/>
        <stp>T&amp;T0</stp>
        <stp>AVD</stp>
        <stp>474</stp>
        <tr r="E477" s="1"/>
      </tp>
      <tp t="s">
        <v>-</v>
        <stp/>
        <stp>T&amp;T0</stp>
        <stp>AVD</stp>
        <stp>475</stp>
        <tr r="E478" s="1"/>
      </tp>
      <tp t="s">
        <v>-</v>
        <stp/>
        <stp>T&amp;T0</stp>
        <stp>AVD</stp>
        <stp>476</stp>
        <tr r="E479" s="1"/>
      </tp>
      <tp t="s">
        <v>-</v>
        <stp/>
        <stp>T&amp;T0</stp>
        <stp>AVD</stp>
        <stp>477</stp>
        <tr r="E480" s="1"/>
      </tp>
      <tp t="s">
        <v>-</v>
        <stp/>
        <stp>T&amp;T0</stp>
        <stp>AVD</stp>
        <stp>478</stp>
        <tr r="E481" s="1"/>
      </tp>
      <tp t="s">
        <v>-</v>
        <stp/>
        <stp>T&amp;T0</stp>
        <stp>AVD</stp>
        <stp>479</stp>
        <tr r="E482" s="1"/>
      </tp>
      <tp t="s">
        <v>-</v>
        <stp/>
        <stp>T&amp;T0</stp>
        <stp>AVD</stp>
        <stp>440</stp>
        <tr r="E443" s="1"/>
      </tp>
      <tp t="s">
        <v>-</v>
        <stp/>
        <stp>T&amp;T0</stp>
        <stp>AVD</stp>
        <stp>441</stp>
        <tr r="E444" s="1"/>
      </tp>
      <tp t="s">
        <v>-</v>
        <stp/>
        <stp>T&amp;T0</stp>
        <stp>AVD</stp>
        <stp>442</stp>
        <tr r="E445" s="1"/>
      </tp>
      <tp t="s">
        <v>-</v>
        <stp/>
        <stp>T&amp;T0</stp>
        <stp>AVD</stp>
        <stp>443</stp>
        <tr r="E446" s="1"/>
      </tp>
      <tp t="s">
        <v>-</v>
        <stp/>
        <stp>T&amp;T0</stp>
        <stp>AVD</stp>
        <stp>444</stp>
        <tr r="E447" s="1"/>
      </tp>
      <tp t="s">
        <v>-</v>
        <stp/>
        <stp>T&amp;T0</stp>
        <stp>AVD</stp>
        <stp>445</stp>
        <tr r="E448" s="1"/>
      </tp>
      <tp t="s">
        <v>-</v>
        <stp/>
        <stp>T&amp;T0</stp>
        <stp>AVD</stp>
        <stp>446</stp>
        <tr r="E449" s="1"/>
      </tp>
      <tp t="s">
        <v>-</v>
        <stp/>
        <stp>T&amp;T0</stp>
        <stp>AVD</stp>
        <stp>447</stp>
        <tr r="E450" s="1"/>
      </tp>
      <tp t="s">
        <v>-</v>
        <stp/>
        <stp>T&amp;T0</stp>
        <stp>AVD</stp>
        <stp>448</stp>
        <tr r="E451" s="1"/>
      </tp>
      <tp t="s">
        <v>-</v>
        <stp/>
        <stp>T&amp;T0</stp>
        <stp>AVD</stp>
        <stp>449</stp>
        <tr r="E452" s="1"/>
      </tp>
      <tp t="s">
        <v>-</v>
        <stp/>
        <stp>T&amp;T0</stp>
        <stp>AVD</stp>
        <stp>450</stp>
        <tr r="E453" s="1"/>
      </tp>
      <tp t="s">
        <v>-</v>
        <stp/>
        <stp>T&amp;T0</stp>
        <stp>AVD</stp>
        <stp>451</stp>
        <tr r="E454" s="1"/>
      </tp>
      <tp t="s">
        <v>-</v>
        <stp/>
        <stp>T&amp;T0</stp>
        <stp>AVD</stp>
        <stp>452</stp>
        <tr r="E455" s="1"/>
      </tp>
      <tp t="s">
        <v>-</v>
        <stp/>
        <stp>T&amp;T0</stp>
        <stp>AVD</stp>
        <stp>453</stp>
        <tr r="E456" s="1"/>
      </tp>
      <tp t="s">
        <v>-</v>
        <stp/>
        <stp>T&amp;T0</stp>
        <stp>AVD</stp>
        <stp>454</stp>
        <tr r="E457" s="1"/>
      </tp>
      <tp t="s">
        <v>-</v>
        <stp/>
        <stp>T&amp;T0</stp>
        <stp>AVD</stp>
        <stp>455</stp>
        <tr r="E458" s="1"/>
      </tp>
      <tp t="s">
        <v>-</v>
        <stp/>
        <stp>T&amp;T0</stp>
        <stp>AVD</stp>
        <stp>456</stp>
        <tr r="E459" s="1"/>
      </tp>
      <tp t="s">
        <v>-</v>
        <stp/>
        <stp>T&amp;T0</stp>
        <stp>AVD</stp>
        <stp>457</stp>
        <tr r="E460" s="1"/>
      </tp>
      <tp t="s">
        <v>-</v>
        <stp/>
        <stp>T&amp;T0</stp>
        <stp>AVD</stp>
        <stp>458</stp>
        <tr r="E461" s="1"/>
      </tp>
      <tp t="s">
        <v>-</v>
        <stp/>
        <stp>T&amp;T0</stp>
        <stp>AVD</stp>
        <stp>459</stp>
        <tr r="E462" s="1"/>
      </tp>
      <tp t="s">
        <v>-</v>
        <stp/>
        <stp>T&amp;T0</stp>
        <stp>AGAG</stp>
        <stp>359</stp>
        <tr r="G362" s="1"/>
      </tp>
      <tp t="s">
        <v>-</v>
        <stp/>
        <stp>T&amp;T0</stp>
        <stp>AGAG</stp>
        <stp>358</stp>
        <tr r="G361" s="1"/>
      </tp>
      <tp t="s">
        <v>-</v>
        <stp/>
        <stp>T&amp;T0</stp>
        <stp>AGAG</stp>
        <stp>357</stp>
        <tr r="G360" s="1"/>
      </tp>
      <tp t="s">
        <v>-</v>
        <stp/>
        <stp>T&amp;T0</stp>
        <stp>AGAG</stp>
        <stp>356</stp>
        <tr r="G359" s="1"/>
      </tp>
      <tp t="s">
        <v>-</v>
        <stp/>
        <stp>T&amp;T0</stp>
        <stp>AGAG</stp>
        <stp>355</stp>
        <tr r="G358" s="1"/>
      </tp>
      <tp t="s">
        <v>-</v>
        <stp/>
        <stp>T&amp;T0</stp>
        <stp>AGAG</stp>
        <stp>354</stp>
        <tr r="G357" s="1"/>
      </tp>
      <tp t="s">
        <v>-</v>
        <stp/>
        <stp>T&amp;T0</stp>
        <stp>AGAG</stp>
        <stp>353</stp>
        <tr r="G356" s="1"/>
      </tp>
      <tp t="s">
        <v>-</v>
        <stp/>
        <stp>T&amp;T0</stp>
        <stp>AGAG</stp>
        <stp>352</stp>
        <tr r="G355" s="1"/>
      </tp>
      <tp t="s">
        <v>-</v>
        <stp/>
        <stp>T&amp;T0</stp>
        <stp>AGAG</stp>
        <stp>351</stp>
        <tr r="G354" s="1"/>
      </tp>
      <tp t="s">
        <v>-</v>
        <stp/>
        <stp>T&amp;T0</stp>
        <stp>AGAG</stp>
        <stp>350</stp>
        <tr r="G353" s="1"/>
      </tp>
      <tp t="s">
        <v>-</v>
        <stp/>
        <stp>T&amp;T0</stp>
        <stp>AGAG</stp>
        <stp>349</stp>
        <tr r="G352" s="1"/>
      </tp>
      <tp t="s">
        <v>-</v>
        <stp/>
        <stp>T&amp;T0</stp>
        <stp>AGAG</stp>
        <stp>348</stp>
        <tr r="G351" s="1"/>
      </tp>
      <tp t="s">
        <v>-</v>
        <stp/>
        <stp>T&amp;T0</stp>
        <stp>AGAG</stp>
        <stp>347</stp>
        <tr r="G350" s="1"/>
      </tp>
      <tp t="s">
        <v>-</v>
        <stp/>
        <stp>T&amp;T0</stp>
        <stp>AGAG</stp>
        <stp>346</stp>
        <tr r="G349" s="1"/>
      </tp>
      <tp t="s">
        <v>-</v>
        <stp/>
        <stp>T&amp;T0</stp>
        <stp>AGAG</stp>
        <stp>345</stp>
        <tr r="G348" s="1"/>
      </tp>
      <tp t="s">
        <v>-</v>
        <stp/>
        <stp>T&amp;T0</stp>
        <stp>AGAG</stp>
        <stp>344</stp>
        <tr r="G347" s="1"/>
      </tp>
      <tp t="s">
        <v>-</v>
        <stp/>
        <stp>T&amp;T0</stp>
        <stp>AGAG</stp>
        <stp>343</stp>
        <tr r="G346" s="1"/>
      </tp>
      <tp t="s">
        <v>-</v>
        <stp/>
        <stp>T&amp;T0</stp>
        <stp>AGAG</stp>
        <stp>342</stp>
        <tr r="G345" s="1"/>
      </tp>
      <tp t="s">
        <v>-</v>
        <stp/>
        <stp>T&amp;T0</stp>
        <stp>AGAG</stp>
        <stp>341</stp>
        <tr r="G344" s="1"/>
      </tp>
      <tp t="s">
        <v>-</v>
        <stp/>
        <stp>T&amp;T0</stp>
        <stp>AGAG</stp>
        <stp>340</stp>
        <tr r="G343" s="1"/>
      </tp>
      <tp t="s">
        <v>-</v>
        <stp/>
        <stp>T&amp;T0</stp>
        <stp>AGAG</stp>
        <stp>379</stp>
        <tr r="G382" s="1"/>
      </tp>
      <tp t="s">
        <v>-</v>
        <stp/>
        <stp>T&amp;T0</stp>
        <stp>AGAG</stp>
        <stp>378</stp>
        <tr r="G381" s="1"/>
      </tp>
      <tp t="s">
        <v>-</v>
        <stp/>
        <stp>T&amp;T0</stp>
        <stp>AGAG</stp>
        <stp>377</stp>
        <tr r="G380" s="1"/>
      </tp>
      <tp t="s">
        <v>-</v>
        <stp/>
        <stp>T&amp;T0</stp>
        <stp>AGAG</stp>
        <stp>376</stp>
        <tr r="G379" s="1"/>
      </tp>
      <tp t="s">
        <v>-</v>
        <stp/>
        <stp>T&amp;T0</stp>
        <stp>AGAG</stp>
        <stp>375</stp>
        <tr r="G378" s="1"/>
      </tp>
      <tp t="s">
        <v>-</v>
        <stp/>
        <stp>T&amp;T0</stp>
        <stp>AGAG</stp>
        <stp>374</stp>
        <tr r="G377" s="1"/>
      </tp>
      <tp t="s">
        <v>-</v>
        <stp/>
        <stp>T&amp;T0</stp>
        <stp>AGAG</stp>
        <stp>373</stp>
        <tr r="G376" s="1"/>
      </tp>
      <tp t="s">
        <v>-</v>
        <stp/>
        <stp>T&amp;T0</stp>
        <stp>AGAG</stp>
        <stp>372</stp>
        <tr r="G375" s="1"/>
      </tp>
      <tp t="s">
        <v>-</v>
        <stp/>
        <stp>T&amp;T0</stp>
        <stp>AGAG</stp>
        <stp>371</stp>
        <tr r="G374" s="1"/>
      </tp>
      <tp t="s">
        <v>-</v>
        <stp/>
        <stp>T&amp;T0</stp>
        <stp>AGAG</stp>
        <stp>370</stp>
        <tr r="G373" s="1"/>
      </tp>
      <tp t="s">
        <v>-</v>
        <stp/>
        <stp>T&amp;T0</stp>
        <stp>AGAG</stp>
        <stp>369</stp>
        <tr r="G372" s="1"/>
      </tp>
      <tp t="s">
        <v>-</v>
        <stp/>
        <stp>T&amp;T0</stp>
        <stp>AGAG</stp>
        <stp>368</stp>
        <tr r="G371" s="1"/>
      </tp>
      <tp t="s">
        <v>-</v>
        <stp/>
        <stp>T&amp;T0</stp>
        <stp>AGAG</stp>
        <stp>367</stp>
        <tr r="G370" s="1"/>
      </tp>
      <tp t="s">
        <v>-</v>
        <stp/>
        <stp>T&amp;T0</stp>
        <stp>AGAG</stp>
        <stp>366</stp>
        <tr r="G369" s="1"/>
      </tp>
      <tp t="s">
        <v>-</v>
        <stp/>
        <stp>T&amp;T0</stp>
        <stp>AGAG</stp>
        <stp>365</stp>
        <tr r="G368" s="1"/>
      </tp>
      <tp t="s">
        <v>-</v>
        <stp/>
        <stp>T&amp;T0</stp>
        <stp>AGAG</stp>
        <stp>364</stp>
        <tr r="G367" s="1"/>
      </tp>
      <tp t="s">
        <v>-</v>
        <stp/>
        <stp>T&amp;T0</stp>
        <stp>AGAG</stp>
        <stp>363</stp>
        <tr r="G366" s="1"/>
      </tp>
      <tp t="s">
        <v>-</v>
        <stp/>
        <stp>T&amp;T0</stp>
        <stp>AGAG</stp>
        <stp>362</stp>
        <tr r="G365" s="1"/>
      </tp>
      <tp t="s">
        <v>-</v>
        <stp/>
        <stp>T&amp;T0</stp>
        <stp>AGAG</stp>
        <stp>361</stp>
        <tr r="G364" s="1"/>
      </tp>
      <tp t="s">
        <v>-</v>
        <stp/>
        <stp>T&amp;T0</stp>
        <stp>AGAG</stp>
        <stp>360</stp>
        <tr r="G363" s="1"/>
      </tp>
      <tp t="s">
        <v>-</v>
        <stp/>
        <stp>T&amp;T0</stp>
        <stp>AGAG</stp>
        <stp>319</stp>
        <tr r="G322" s="1"/>
      </tp>
      <tp t="s">
        <v>-</v>
        <stp/>
        <stp>T&amp;T0</stp>
        <stp>AGAG</stp>
        <stp>318</stp>
        <tr r="G321" s="1"/>
      </tp>
      <tp t="s">
        <v>-</v>
        <stp/>
        <stp>T&amp;T0</stp>
        <stp>AGAG</stp>
        <stp>317</stp>
        <tr r="G320" s="1"/>
      </tp>
      <tp t="s">
        <v>-</v>
        <stp/>
        <stp>T&amp;T0</stp>
        <stp>AGAG</stp>
        <stp>316</stp>
        <tr r="G319" s="1"/>
      </tp>
      <tp t="s">
        <v>-</v>
        <stp/>
        <stp>T&amp;T0</stp>
        <stp>AGAG</stp>
        <stp>315</stp>
        <tr r="G318" s="1"/>
      </tp>
      <tp t="s">
        <v>-</v>
        <stp/>
        <stp>T&amp;T0</stp>
        <stp>AGAG</stp>
        <stp>314</stp>
        <tr r="G317" s="1"/>
      </tp>
      <tp t="s">
        <v>-</v>
        <stp/>
        <stp>T&amp;T0</stp>
        <stp>AGAG</stp>
        <stp>313</stp>
        <tr r="G316" s="1"/>
      </tp>
      <tp t="s">
        <v>-</v>
        <stp/>
        <stp>T&amp;T0</stp>
        <stp>AGAG</stp>
        <stp>312</stp>
        <tr r="G315" s="1"/>
      </tp>
      <tp t="s">
        <v>-</v>
        <stp/>
        <stp>T&amp;T0</stp>
        <stp>AGAG</stp>
        <stp>311</stp>
        <tr r="G314" s="1"/>
      </tp>
      <tp t="s">
        <v>-</v>
        <stp/>
        <stp>T&amp;T0</stp>
        <stp>AGAG</stp>
        <stp>310</stp>
        <tr r="G313" s="1"/>
      </tp>
      <tp t="s">
        <v>-</v>
        <stp/>
        <stp>T&amp;T0</stp>
        <stp>AGAG</stp>
        <stp>309</stp>
        <tr r="G312" s="1"/>
      </tp>
      <tp t="s">
        <v>-</v>
        <stp/>
        <stp>T&amp;T0</stp>
        <stp>AGAG</stp>
        <stp>308</stp>
        <tr r="G311" s="1"/>
      </tp>
      <tp t="s">
        <v>-</v>
        <stp/>
        <stp>T&amp;T0</stp>
        <stp>AGAG</stp>
        <stp>307</stp>
        <tr r="G310" s="1"/>
      </tp>
      <tp t="s">
        <v>-</v>
        <stp/>
        <stp>T&amp;T0</stp>
        <stp>AGAG</stp>
        <stp>306</stp>
        <tr r="G309" s="1"/>
      </tp>
      <tp t="s">
        <v>-</v>
        <stp/>
        <stp>T&amp;T0</stp>
        <stp>AGAG</stp>
        <stp>305</stp>
        <tr r="G308" s="1"/>
      </tp>
      <tp t="s">
        <v>-</v>
        <stp/>
        <stp>T&amp;T0</stp>
        <stp>AGAG</stp>
        <stp>304</stp>
        <tr r="G307" s="1"/>
      </tp>
      <tp t="s">
        <v>-</v>
        <stp/>
        <stp>T&amp;T0</stp>
        <stp>AGAG</stp>
        <stp>303</stp>
        <tr r="G306" s="1"/>
      </tp>
      <tp t="s">
        <v>-</v>
        <stp/>
        <stp>T&amp;T0</stp>
        <stp>AGAG</stp>
        <stp>302</stp>
        <tr r="G305" s="1"/>
      </tp>
      <tp t="s">
        <v>-</v>
        <stp/>
        <stp>T&amp;T0</stp>
        <stp>AGAG</stp>
        <stp>301</stp>
        <tr r="G304" s="1"/>
      </tp>
      <tp t="s">
        <v>-</v>
        <stp/>
        <stp>T&amp;T0</stp>
        <stp>AGAG</stp>
        <stp>300</stp>
        <tr r="G303" s="1"/>
      </tp>
      <tp t="s">
        <v>-</v>
        <stp/>
        <stp>T&amp;T0</stp>
        <stp>AGAG</stp>
        <stp>339</stp>
        <tr r="G342" s="1"/>
      </tp>
      <tp t="s">
        <v>-</v>
        <stp/>
        <stp>T&amp;T0</stp>
        <stp>AGAG</stp>
        <stp>338</stp>
        <tr r="G341" s="1"/>
      </tp>
      <tp t="s">
        <v>-</v>
        <stp/>
        <stp>T&amp;T0</stp>
        <stp>AGAG</stp>
        <stp>337</stp>
        <tr r="G340" s="1"/>
      </tp>
      <tp t="s">
        <v>-</v>
        <stp/>
        <stp>T&amp;T0</stp>
        <stp>AGAG</stp>
        <stp>336</stp>
        <tr r="G339" s="1"/>
      </tp>
      <tp t="s">
        <v>-</v>
        <stp/>
        <stp>T&amp;T0</stp>
        <stp>AGAG</stp>
        <stp>335</stp>
        <tr r="G338" s="1"/>
      </tp>
      <tp t="s">
        <v>-</v>
        <stp/>
        <stp>T&amp;T0</stp>
        <stp>AGAG</stp>
        <stp>334</stp>
        <tr r="G337" s="1"/>
      </tp>
      <tp t="s">
        <v>-</v>
        <stp/>
        <stp>T&amp;T0</stp>
        <stp>AGAG</stp>
        <stp>333</stp>
        <tr r="G336" s="1"/>
      </tp>
      <tp t="s">
        <v>-</v>
        <stp/>
        <stp>T&amp;T0</stp>
        <stp>AGAG</stp>
        <stp>332</stp>
        <tr r="G335" s="1"/>
      </tp>
      <tp t="s">
        <v>-</v>
        <stp/>
        <stp>T&amp;T0</stp>
        <stp>AGAG</stp>
        <stp>331</stp>
        <tr r="G334" s="1"/>
      </tp>
      <tp t="s">
        <v>-</v>
        <stp/>
        <stp>T&amp;T0</stp>
        <stp>AGAG</stp>
        <stp>330</stp>
        <tr r="G333" s="1"/>
      </tp>
      <tp t="s">
        <v>-</v>
        <stp/>
        <stp>T&amp;T0</stp>
        <stp>AGAG</stp>
        <stp>329</stp>
        <tr r="G332" s="1"/>
      </tp>
      <tp t="s">
        <v>-</v>
        <stp/>
        <stp>T&amp;T0</stp>
        <stp>AGAG</stp>
        <stp>328</stp>
        <tr r="G331" s="1"/>
      </tp>
      <tp t="s">
        <v>-</v>
        <stp/>
        <stp>T&amp;T0</stp>
        <stp>AGAG</stp>
        <stp>327</stp>
        <tr r="G330" s="1"/>
      </tp>
      <tp t="s">
        <v>-</v>
        <stp/>
        <stp>T&amp;T0</stp>
        <stp>AGAG</stp>
        <stp>326</stp>
        <tr r="G329" s="1"/>
      </tp>
      <tp t="s">
        <v>-</v>
        <stp/>
        <stp>T&amp;T0</stp>
        <stp>AGAG</stp>
        <stp>325</stp>
        <tr r="G328" s="1"/>
      </tp>
      <tp t="s">
        <v>-</v>
        <stp/>
        <stp>T&amp;T0</stp>
        <stp>AGAG</stp>
        <stp>324</stp>
        <tr r="G327" s="1"/>
      </tp>
      <tp t="s">
        <v>-</v>
        <stp/>
        <stp>T&amp;T0</stp>
        <stp>AGAG</stp>
        <stp>323</stp>
        <tr r="G326" s="1"/>
      </tp>
      <tp t="s">
        <v>-</v>
        <stp/>
        <stp>T&amp;T0</stp>
        <stp>AGAG</stp>
        <stp>322</stp>
        <tr r="G325" s="1"/>
      </tp>
      <tp t="s">
        <v>-</v>
        <stp/>
        <stp>T&amp;T0</stp>
        <stp>AGAG</stp>
        <stp>321</stp>
        <tr r="G324" s="1"/>
      </tp>
      <tp t="s">
        <v>-</v>
        <stp/>
        <stp>T&amp;T0</stp>
        <stp>AGAG</stp>
        <stp>320</stp>
        <tr r="G323" s="1"/>
      </tp>
      <tp t="s">
        <v>-</v>
        <stp/>
        <stp>T&amp;T0</stp>
        <stp>AGAG</stp>
        <stp>399</stp>
        <tr r="G402" s="1"/>
      </tp>
      <tp t="s">
        <v>-</v>
        <stp/>
        <stp>T&amp;T0</stp>
        <stp>AGAG</stp>
        <stp>398</stp>
        <tr r="G401" s="1"/>
      </tp>
      <tp t="s">
        <v>-</v>
        <stp/>
        <stp>T&amp;T0</stp>
        <stp>AGAG</stp>
        <stp>397</stp>
        <tr r="G400" s="1"/>
      </tp>
      <tp t="s">
        <v>-</v>
        <stp/>
        <stp>T&amp;T0</stp>
        <stp>AGAG</stp>
        <stp>396</stp>
        <tr r="G399" s="1"/>
      </tp>
      <tp t="s">
        <v>-</v>
        <stp/>
        <stp>T&amp;T0</stp>
        <stp>AGAG</stp>
        <stp>395</stp>
        <tr r="G398" s="1"/>
      </tp>
      <tp t="s">
        <v>-</v>
        <stp/>
        <stp>T&amp;T0</stp>
        <stp>AGAG</stp>
        <stp>394</stp>
        <tr r="G397" s="1"/>
      </tp>
      <tp t="s">
        <v>-</v>
        <stp/>
        <stp>T&amp;T0</stp>
        <stp>AGAG</stp>
        <stp>393</stp>
        <tr r="G396" s="1"/>
      </tp>
      <tp t="s">
        <v>-</v>
        <stp/>
        <stp>T&amp;T0</stp>
        <stp>AGAG</stp>
        <stp>392</stp>
        <tr r="G395" s="1"/>
      </tp>
      <tp t="s">
        <v>-</v>
        <stp/>
        <stp>T&amp;T0</stp>
        <stp>AGAG</stp>
        <stp>391</stp>
        <tr r="G394" s="1"/>
      </tp>
      <tp t="s">
        <v>-</v>
        <stp/>
        <stp>T&amp;T0</stp>
        <stp>AGAG</stp>
        <stp>390</stp>
        <tr r="G393" s="1"/>
      </tp>
      <tp t="s">
        <v>-</v>
        <stp/>
        <stp>T&amp;T0</stp>
        <stp>AGAG</stp>
        <stp>389</stp>
        <tr r="G392" s="1"/>
      </tp>
      <tp t="s">
        <v>-</v>
        <stp/>
        <stp>T&amp;T0</stp>
        <stp>AGAG</stp>
        <stp>388</stp>
        <tr r="G391" s="1"/>
      </tp>
      <tp t="s">
        <v>-</v>
        <stp/>
        <stp>T&amp;T0</stp>
        <stp>AGAG</stp>
        <stp>387</stp>
        <tr r="G390" s="1"/>
      </tp>
      <tp t="s">
        <v>-</v>
        <stp/>
        <stp>T&amp;T0</stp>
        <stp>AGAG</stp>
        <stp>386</stp>
        <tr r="G389" s="1"/>
      </tp>
      <tp t="s">
        <v>-</v>
        <stp/>
        <stp>T&amp;T0</stp>
        <stp>AGAG</stp>
        <stp>385</stp>
        <tr r="G388" s="1"/>
      </tp>
      <tp t="s">
        <v>-</v>
        <stp/>
        <stp>T&amp;T0</stp>
        <stp>AGAG</stp>
        <stp>384</stp>
        <tr r="G387" s="1"/>
      </tp>
      <tp t="s">
        <v>-</v>
        <stp/>
        <stp>T&amp;T0</stp>
        <stp>AGAG</stp>
        <stp>383</stp>
        <tr r="G386" s="1"/>
      </tp>
      <tp t="s">
        <v>-</v>
        <stp/>
        <stp>T&amp;T0</stp>
        <stp>AGAG</stp>
        <stp>382</stp>
        <tr r="G385" s="1"/>
      </tp>
      <tp t="s">
        <v>-</v>
        <stp/>
        <stp>T&amp;T0</stp>
        <stp>AGAG</stp>
        <stp>381</stp>
        <tr r="G384" s="1"/>
      </tp>
      <tp t="s">
        <v>-</v>
        <stp/>
        <stp>T&amp;T0</stp>
        <stp>AGAG</stp>
        <stp>380</stp>
        <tr r="G383" s="1"/>
      </tp>
      <tp t="s">
        <v>-</v>
        <stp/>
        <stp>T&amp;T0</stp>
        <stp>AGAG</stp>
        <stp>259</stp>
        <tr r="G262" s="1"/>
      </tp>
      <tp t="s">
        <v>-</v>
        <stp/>
        <stp>T&amp;T0</stp>
        <stp>AGAG</stp>
        <stp>258</stp>
        <tr r="G261" s="1"/>
      </tp>
      <tp t="s">
        <v>-</v>
        <stp/>
        <stp>T&amp;T0</stp>
        <stp>AGAG</stp>
        <stp>257</stp>
        <tr r="G260" s="1"/>
      </tp>
      <tp t="s">
        <v>-</v>
        <stp/>
        <stp>T&amp;T0</stp>
        <stp>AGAG</stp>
        <stp>256</stp>
        <tr r="G259" s="1"/>
      </tp>
      <tp t="s">
        <v>-</v>
        <stp/>
        <stp>T&amp;T0</stp>
        <stp>AGAG</stp>
        <stp>255</stp>
        <tr r="G258" s="1"/>
      </tp>
      <tp t="s">
        <v>-</v>
        <stp/>
        <stp>T&amp;T0</stp>
        <stp>AGAG</stp>
        <stp>254</stp>
        <tr r="G257" s="1"/>
      </tp>
      <tp t="s">
        <v>-</v>
        <stp/>
        <stp>T&amp;T0</stp>
        <stp>AGAG</stp>
        <stp>253</stp>
        <tr r="G256" s="1"/>
      </tp>
      <tp t="s">
        <v>-</v>
        <stp/>
        <stp>T&amp;T0</stp>
        <stp>AGAG</stp>
        <stp>252</stp>
        <tr r="G255" s="1"/>
      </tp>
      <tp t="s">
        <v>-</v>
        <stp/>
        <stp>T&amp;T0</stp>
        <stp>AGAG</stp>
        <stp>251</stp>
        <tr r="G254" s="1"/>
      </tp>
      <tp t="s">
        <v>-</v>
        <stp/>
        <stp>T&amp;T0</stp>
        <stp>AGAG</stp>
        <stp>250</stp>
        <tr r="G253" s="1"/>
      </tp>
      <tp t="s">
        <v>-</v>
        <stp/>
        <stp>T&amp;T0</stp>
        <stp>AGAG</stp>
        <stp>249</stp>
        <tr r="G252" s="1"/>
      </tp>
      <tp t="s">
        <v>-</v>
        <stp/>
        <stp>T&amp;T0</stp>
        <stp>AGAG</stp>
        <stp>248</stp>
        <tr r="G251" s="1"/>
      </tp>
      <tp t="s">
        <v>-</v>
        <stp/>
        <stp>T&amp;T0</stp>
        <stp>AGAG</stp>
        <stp>247</stp>
        <tr r="G250" s="1"/>
      </tp>
      <tp t="s">
        <v>-</v>
        <stp/>
        <stp>T&amp;T0</stp>
        <stp>AGAG</stp>
        <stp>246</stp>
        <tr r="G249" s="1"/>
      </tp>
      <tp t="s">
        <v>-</v>
        <stp/>
        <stp>T&amp;T0</stp>
        <stp>AGAG</stp>
        <stp>245</stp>
        <tr r="G248" s="1"/>
      </tp>
      <tp t="s">
        <v>-</v>
        <stp/>
        <stp>T&amp;T0</stp>
        <stp>AGAG</stp>
        <stp>244</stp>
        <tr r="G247" s="1"/>
      </tp>
      <tp t="s">
        <v>-</v>
        <stp/>
        <stp>T&amp;T0</stp>
        <stp>AGAG</stp>
        <stp>243</stp>
        <tr r="G246" s="1"/>
      </tp>
      <tp t="s">
        <v>-</v>
        <stp/>
        <stp>T&amp;T0</stp>
        <stp>AGAG</stp>
        <stp>242</stp>
        <tr r="G245" s="1"/>
      </tp>
      <tp t="s">
        <v>-</v>
        <stp/>
        <stp>T&amp;T0</stp>
        <stp>AGAG</stp>
        <stp>241</stp>
        <tr r="G244" s="1"/>
      </tp>
      <tp t="s">
        <v>-</v>
        <stp/>
        <stp>T&amp;T0</stp>
        <stp>AGAG</stp>
        <stp>240</stp>
        <tr r="G243" s="1"/>
      </tp>
      <tp t="s">
        <v>-</v>
        <stp/>
        <stp>T&amp;T0</stp>
        <stp>AGAG</stp>
        <stp>279</stp>
        <tr r="G282" s="1"/>
      </tp>
      <tp t="s">
        <v>-</v>
        <stp/>
        <stp>T&amp;T0</stp>
        <stp>AGAG</stp>
        <stp>278</stp>
        <tr r="G281" s="1"/>
      </tp>
      <tp t="s">
        <v>-</v>
        <stp/>
        <stp>T&amp;T0</stp>
        <stp>AGAG</stp>
        <stp>277</stp>
        <tr r="G280" s="1"/>
      </tp>
      <tp t="s">
        <v>-</v>
        <stp/>
        <stp>T&amp;T0</stp>
        <stp>AGAG</stp>
        <stp>276</stp>
        <tr r="G279" s="1"/>
      </tp>
      <tp t="s">
        <v>-</v>
        <stp/>
        <stp>T&amp;T0</stp>
        <stp>AGAG</stp>
        <stp>275</stp>
        <tr r="G278" s="1"/>
      </tp>
      <tp t="s">
        <v>-</v>
        <stp/>
        <stp>T&amp;T0</stp>
        <stp>AGAG</stp>
        <stp>274</stp>
        <tr r="G277" s="1"/>
      </tp>
      <tp t="s">
        <v>-</v>
        <stp/>
        <stp>T&amp;T0</stp>
        <stp>AGAG</stp>
        <stp>273</stp>
        <tr r="G276" s="1"/>
      </tp>
      <tp t="s">
        <v>-</v>
        <stp/>
        <stp>T&amp;T0</stp>
        <stp>AGAG</stp>
        <stp>272</stp>
        <tr r="G275" s="1"/>
      </tp>
      <tp t="s">
        <v>-</v>
        <stp/>
        <stp>T&amp;T0</stp>
        <stp>AGAG</stp>
        <stp>271</stp>
        <tr r="G274" s="1"/>
      </tp>
      <tp t="s">
        <v>-</v>
        <stp/>
        <stp>T&amp;T0</stp>
        <stp>AGAG</stp>
        <stp>270</stp>
        <tr r="G273" s="1"/>
      </tp>
      <tp t="s">
        <v>-</v>
        <stp/>
        <stp>T&amp;T0</stp>
        <stp>AGAG</stp>
        <stp>269</stp>
        <tr r="G272" s="1"/>
      </tp>
      <tp t="s">
        <v>-</v>
        <stp/>
        <stp>T&amp;T0</stp>
        <stp>AGAG</stp>
        <stp>268</stp>
        <tr r="G271" s="1"/>
      </tp>
      <tp t="s">
        <v>-</v>
        <stp/>
        <stp>T&amp;T0</stp>
        <stp>AGAG</stp>
        <stp>267</stp>
        <tr r="G270" s="1"/>
      </tp>
      <tp t="s">
        <v>-</v>
        <stp/>
        <stp>T&amp;T0</stp>
        <stp>AGAG</stp>
        <stp>266</stp>
        <tr r="G269" s="1"/>
      </tp>
      <tp t="s">
        <v>-</v>
        <stp/>
        <stp>T&amp;T0</stp>
        <stp>AGAG</stp>
        <stp>265</stp>
        <tr r="G268" s="1"/>
      </tp>
      <tp t="s">
        <v>-</v>
        <stp/>
        <stp>T&amp;T0</stp>
        <stp>AGAG</stp>
        <stp>264</stp>
        <tr r="G267" s="1"/>
      </tp>
      <tp t="s">
        <v>-</v>
        <stp/>
        <stp>T&amp;T0</stp>
        <stp>AGAG</stp>
        <stp>263</stp>
        <tr r="G266" s="1"/>
      </tp>
      <tp t="s">
        <v>-</v>
        <stp/>
        <stp>T&amp;T0</stp>
        <stp>AGAG</stp>
        <stp>262</stp>
        <tr r="G265" s="1"/>
      </tp>
      <tp t="s">
        <v>-</v>
        <stp/>
        <stp>T&amp;T0</stp>
        <stp>AGAG</stp>
        <stp>261</stp>
        <tr r="G264" s="1"/>
      </tp>
      <tp t="s">
        <v>-</v>
        <stp/>
        <stp>T&amp;T0</stp>
        <stp>AGAG</stp>
        <stp>260</stp>
        <tr r="G263" s="1"/>
      </tp>
      <tp t="s">
        <v>-</v>
        <stp/>
        <stp>T&amp;T0</stp>
        <stp>AGAG</stp>
        <stp>219</stp>
        <tr r="G222" s="1"/>
      </tp>
      <tp t="s">
        <v>-</v>
        <stp/>
        <stp>T&amp;T0</stp>
        <stp>AGAG</stp>
        <stp>218</stp>
        <tr r="G221" s="1"/>
      </tp>
      <tp t="s">
        <v>-</v>
        <stp/>
        <stp>T&amp;T0</stp>
        <stp>AGAG</stp>
        <stp>217</stp>
        <tr r="G220" s="1"/>
      </tp>
      <tp t="s">
        <v>-</v>
        <stp/>
        <stp>T&amp;T0</stp>
        <stp>AGAG</stp>
        <stp>216</stp>
        <tr r="G219" s="1"/>
      </tp>
      <tp t="s">
        <v>-</v>
        <stp/>
        <stp>T&amp;T0</stp>
        <stp>AGAG</stp>
        <stp>215</stp>
        <tr r="G218" s="1"/>
      </tp>
      <tp t="s">
        <v>-</v>
        <stp/>
        <stp>T&amp;T0</stp>
        <stp>AGAG</stp>
        <stp>214</stp>
        <tr r="G217" s="1"/>
      </tp>
      <tp t="s">
        <v>-</v>
        <stp/>
        <stp>T&amp;T0</stp>
        <stp>AGAG</stp>
        <stp>213</stp>
        <tr r="G216" s="1"/>
      </tp>
      <tp t="s">
        <v>-</v>
        <stp/>
        <stp>T&amp;T0</stp>
        <stp>AGAG</stp>
        <stp>212</stp>
        <tr r="G215" s="1"/>
      </tp>
      <tp t="s">
        <v>-</v>
        <stp/>
        <stp>T&amp;T0</stp>
        <stp>AGAG</stp>
        <stp>211</stp>
        <tr r="G214" s="1"/>
      </tp>
      <tp t="s">
        <v>-</v>
        <stp/>
        <stp>T&amp;T0</stp>
        <stp>AGAG</stp>
        <stp>210</stp>
        <tr r="G213" s="1"/>
      </tp>
      <tp t="s">
        <v>-</v>
        <stp/>
        <stp>T&amp;T0</stp>
        <stp>AGAG</stp>
        <stp>209</stp>
        <tr r="G212" s="1"/>
      </tp>
      <tp t="s">
        <v>-</v>
        <stp/>
        <stp>T&amp;T0</stp>
        <stp>AGAG</stp>
        <stp>208</stp>
        <tr r="G211" s="1"/>
      </tp>
      <tp t="s">
        <v>-</v>
        <stp/>
        <stp>T&amp;T0</stp>
        <stp>AGAG</stp>
        <stp>207</stp>
        <tr r="G210" s="1"/>
      </tp>
      <tp t="s">
        <v>-</v>
        <stp/>
        <stp>T&amp;T0</stp>
        <stp>AGAG</stp>
        <stp>206</stp>
        <tr r="G209" s="1"/>
      </tp>
      <tp t="s">
        <v>-</v>
        <stp/>
        <stp>T&amp;T0</stp>
        <stp>AGAG</stp>
        <stp>205</stp>
        <tr r="G208" s="1"/>
      </tp>
      <tp t="s">
        <v>-</v>
        <stp/>
        <stp>T&amp;T0</stp>
        <stp>AGAG</stp>
        <stp>204</stp>
        <tr r="G207" s="1"/>
      </tp>
      <tp t="s">
        <v>-</v>
        <stp/>
        <stp>T&amp;T0</stp>
        <stp>AGAG</stp>
        <stp>203</stp>
        <tr r="G206" s="1"/>
      </tp>
      <tp t="s">
        <v>-</v>
        <stp/>
        <stp>T&amp;T0</stp>
        <stp>AGAG</stp>
        <stp>202</stp>
        <tr r="G205" s="1"/>
      </tp>
      <tp t="s">
        <v>-</v>
        <stp/>
        <stp>T&amp;T0</stp>
        <stp>AGAG</stp>
        <stp>201</stp>
        <tr r="G204" s="1"/>
      </tp>
      <tp t="s">
        <v>-</v>
        <stp/>
        <stp>T&amp;T0</stp>
        <stp>AGAG</stp>
        <stp>200</stp>
        <tr r="G203" s="1"/>
      </tp>
      <tp t="s">
        <v>-</v>
        <stp/>
        <stp>T&amp;T0</stp>
        <stp>AGAG</stp>
        <stp>239</stp>
        <tr r="G242" s="1"/>
      </tp>
      <tp t="s">
        <v>-</v>
        <stp/>
        <stp>T&amp;T0</stp>
        <stp>AGAG</stp>
        <stp>238</stp>
        <tr r="G241" s="1"/>
      </tp>
      <tp t="s">
        <v>-</v>
        <stp/>
        <stp>T&amp;T0</stp>
        <stp>AGAG</stp>
        <stp>237</stp>
        <tr r="G240" s="1"/>
      </tp>
      <tp t="s">
        <v>-</v>
        <stp/>
        <stp>T&amp;T0</stp>
        <stp>AGAG</stp>
        <stp>236</stp>
        <tr r="G239" s="1"/>
      </tp>
      <tp t="s">
        <v>-</v>
        <stp/>
        <stp>T&amp;T0</stp>
        <stp>AGAG</stp>
        <stp>235</stp>
        <tr r="G238" s="1"/>
      </tp>
      <tp t="s">
        <v>-</v>
        <stp/>
        <stp>T&amp;T0</stp>
        <stp>AGAG</stp>
        <stp>234</stp>
        <tr r="G237" s="1"/>
      </tp>
      <tp t="s">
        <v>-</v>
        <stp/>
        <stp>T&amp;T0</stp>
        <stp>AGAG</stp>
        <stp>233</stp>
        <tr r="G236" s="1"/>
      </tp>
      <tp t="s">
        <v>-</v>
        <stp/>
        <stp>T&amp;T0</stp>
        <stp>AGAG</stp>
        <stp>232</stp>
        <tr r="G235" s="1"/>
      </tp>
      <tp t="s">
        <v>-</v>
        <stp/>
        <stp>T&amp;T0</stp>
        <stp>AGAG</stp>
        <stp>231</stp>
        <tr r="G234" s="1"/>
      </tp>
      <tp t="s">
        <v>-</v>
        <stp/>
        <stp>T&amp;T0</stp>
        <stp>AGAG</stp>
        <stp>230</stp>
        <tr r="G233" s="1"/>
      </tp>
      <tp t="s">
        <v>-</v>
        <stp/>
        <stp>T&amp;T0</stp>
        <stp>AGAG</stp>
        <stp>229</stp>
        <tr r="G232" s="1"/>
      </tp>
      <tp t="s">
        <v>-</v>
        <stp/>
        <stp>T&amp;T0</stp>
        <stp>AGAG</stp>
        <stp>228</stp>
        <tr r="G231" s="1"/>
      </tp>
      <tp t="s">
        <v>-</v>
        <stp/>
        <stp>T&amp;T0</stp>
        <stp>AGAG</stp>
        <stp>227</stp>
        <tr r="G230" s="1"/>
      </tp>
      <tp t="s">
        <v>-</v>
        <stp/>
        <stp>T&amp;T0</stp>
        <stp>AGAG</stp>
        <stp>226</stp>
        <tr r="G229" s="1"/>
      </tp>
      <tp t="s">
        <v>-</v>
        <stp/>
        <stp>T&amp;T0</stp>
        <stp>AGAG</stp>
        <stp>225</stp>
        <tr r="G228" s="1"/>
      </tp>
      <tp t="s">
        <v>-</v>
        <stp/>
        <stp>T&amp;T0</stp>
        <stp>AGAG</stp>
        <stp>224</stp>
        <tr r="G227" s="1"/>
      </tp>
      <tp t="s">
        <v>-</v>
        <stp/>
        <stp>T&amp;T0</stp>
        <stp>AGAG</stp>
        <stp>223</stp>
        <tr r="G226" s="1"/>
      </tp>
      <tp t="s">
        <v>-</v>
        <stp/>
        <stp>T&amp;T0</stp>
        <stp>AGAG</stp>
        <stp>222</stp>
        <tr r="G225" s="1"/>
      </tp>
      <tp t="s">
        <v>-</v>
        <stp/>
        <stp>T&amp;T0</stp>
        <stp>AGAG</stp>
        <stp>221</stp>
        <tr r="G224" s="1"/>
      </tp>
      <tp t="s">
        <v>-</v>
        <stp/>
        <stp>T&amp;T0</stp>
        <stp>AGAG</stp>
        <stp>220</stp>
        <tr r="G223" s="1"/>
      </tp>
      <tp t="s">
        <v>-</v>
        <stp/>
        <stp>T&amp;T0</stp>
        <stp>AGAG</stp>
        <stp>299</stp>
        <tr r="G302" s="1"/>
      </tp>
      <tp t="s">
        <v>-</v>
        <stp/>
        <stp>T&amp;T0</stp>
        <stp>AGAG</stp>
        <stp>298</stp>
        <tr r="G301" s="1"/>
      </tp>
      <tp t="s">
        <v>-</v>
        <stp/>
        <stp>T&amp;T0</stp>
        <stp>AGAG</stp>
        <stp>297</stp>
        <tr r="G300" s="1"/>
      </tp>
      <tp t="s">
        <v>-</v>
        <stp/>
        <stp>T&amp;T0</stp>
        <stp>AGAG</stp>
        <stp>296</stp>
        <tr r="G299" s="1"/>
      </tp>
      <tp t="s">
        <v>-</v>
        <stp/>
        <stp>T&amp;T0</stp>
        <stp>AGAG</stp>
        <stp>295</stp>
        <tr r="G298" s="1"/>
      </tp>
      <tp t="s">
        <v>-</v>
        <stp/>
        <stp>T&amp;T0</stp>
        <stp>AGAG</stp>
        <stp>294</stp>
        <tr r="G297" s="1"/>
      </tp>
      <tp t="s">
        <v>-</v>
        <stp/>
        <stp>T&amp;T0</stp>
        <stp>AGAG</stp>
        <stp>293</stp>
        <tr r="G296" s="1"/>
      </tp>
      <tp t="s">
        <v>-</v>
        <stp/>
        <stp>T&amp;T0</stp>
        <stp>AGAG</stp>
        <stp>292</stp>
        <tr r="G295" s="1"/>
      </tp>
      <tp t="s">
        <v>-</v>
        <stp/>
        <stp>T&amp;T0</stp>
        <stp>AGAG</stp>
        <stp>291</stp>
        <tr r="G294" s="1"/>
      </tp>
      <tp t="s">
        <v>-</v>
        <stp/>
        <stp>T&amp;T0</stp>
        <stp>AGAG</stp>
        <stp>290</stp>
        <tr r="G293" s="1"/>
      </tp>
      <tp t="s">
        <v>-</v>
        <stp/>
        <stp>T&amp;T0</stp>
        <stp>AGAG</stp>
        <stp>289</stp>
        <tr r="G292" s="1"/>
      </tp>
      <tp t="s">
        <v>-</v>
        <stp/>
        <stp>T&amp;T0</stp>
        <stp>AGAG</stp>
        <stp>288</stp>
        <tr r="G291" s="1"/>
      </tp>
      <tp t="s">
        <v>-</v>
        <stp/>
        <stp>T&amp;T0</stp>
        <stp>AGAG</stp>
        <stp>287</stp>
        <tr r="G290" s="1"/>
      </tp>
      <tp t="s">
        <v>-</v>
        <stp/>
        <stp>T&amp;T0</stp>
        <stp>AGAG</stp>
        <stp>286</stp>
        <tr r="G289" s="1"/>
      </tp>
      <tp t="s">
        <v>-</v>
        <stp/>
        <stp>T&amp;T0</stp>
        <stp>AGAG</stp>
        <stp>285</stp>
        <tr r="G288" s="1"/>
      </tp>
      <tp t="s">
        <v>-</v>
        <stp/>
        <stp>T&amp;T0</stp>
        <stp>AGAG</stp>
        <stp>284</stp>
        <tr r="G287" s="1"/>
      </tp>
      <tp t="s">
        <v>-</v>
        <stp/>
        <stp>T&amp;T0</stp>
        <stp>AGAG</stp>
        <stp>283</stp>
        <tr r="G286" s="1"/>
      </tp>
      <tp t="s">
        <v>-</v>
        <stp/>
        <stp>T&amp;T0</stp>
        <stp>AGAG</stp>
        <stp>282</stp>
        <tr r="G285" s="1"/>
      </tp>
      <tp t="s">
        <v>-</v>
        <stp/>
        <stp>T&amp;T0</stp>
        <stp>AGAG</stp>
        <stp>281</stp>
        <tr r="G284" s="1"/>
      </tp>
      <tp t="s">
        <v>-</v>
        <stp/>
        <stp>T&amp;T0</stp>
        <stp>AGAG</stp>
        <stp>280</stp>
        <tr r="G283" s="1"/>
      </tp>
      <tp t="s">
        <v>-</v>
        <stp/>
        <stp>T&amp;T0</stp>
        <stp>AGAG</stp>
        <stp>159</stp>
        <tr r="G162" s="1"/>
      </tp>
      <tp t="s">
        <v>-</v>
        <stp/>
        <stp>T&amp;T0</stp>
        <stp>AGAG</stp>
        <stp>158</stp>
        <tr r="G161" s="1"/>
      </tp>
      <tp t="s">
        <v>-</v>
        <stp/>
        <stp>T&amp;T0</stp>
        <stp>AGAG</stp>
        <stp>157</stp>
        <tr r="G160" s="1"/>
      </tp>
      <tp t="s">
        <v>-</v>
        <stp/>
        <stp>T&amp;T0</stp>
        <stp>AGAG</stp>
        <stp>156</stp>
        <tr r="G159" s="1"/>
      </tp>
      <tp t="s">
        <v>-</v>
        <stp/>
        <stp>T&amp;T0</stp>
        <stp>AGAG</stp>
        <stp>155</stp>
        <tr r="G158" s="1"/>
      </tp>
      <tp t="s">
        <v>-</v>
        <stp/>
        <stp>T&amp;T0</stp>
        <stp>AGAG</stp>
        <stp>154</stp>
        <tr r="G157" s="1"/>
      </tp>
      <tp t="s">
        <v>-</v>
        <stp/>
        <stp>T&amp;T0</stp>
        <stp>AGAG</stp>
        <stp>153</stp>
        <tr r="G156" s="1"/>
      </tp>
      <tp t="s">
        <v>-</v>
        <stp/>
        <stp>T&amp;T0</stp>
        <stp>AGAG</stp>
        <stp>152</stp>
        <tr r="G155" s="1"/>
      </tp>
      <tp t="s">
        <v>-</v>
        <stp/>
        <stp>T&amp;T0</stp>
        <stp>AGAG</stp>
        <stp>151</stp>
        <tr r="G154" s="1"/>
      </tp>
      <tp t="s">
        <v>-</v>
        <stp/>
        <stp>T&amp;T0</stp>
        <stp>AGAG</stp>
        <stp>150</stp>
        <tr r="G153" s="1"/>
      </tp>
      <tp t="s">
        <v>-</v>
        <stp/>
        <stp>T&amp;T0</stp>
        <stp>AGAG</stp>
        <stp>149</stp>
        <tr r="G152" s="1"/>
      </tp>
      <tp t="s">
        <v>-</v>
        <stp/>
        <stp>T&amp;T0</stp>
        <stp>AGAG</stp>
        <stp>148</stp>
        <tr r="G151" s="1"/>
      </tp>
      <tp t="s">
        <v>-</v>
        <stp/>
        <stp>T&amp;T0</stp>
        <stp>AGAG</stp>
        <stp>147</stp>
        <tr r="G150" s="1"/>
      </tp>
      <tp t="s">
        <v>-</v>
        <stp/>
        <stp>T&amp;T0</stp>
        <stp>AGAG</stp>
        <stp>146</stp>
        <tr r="G149" s="1"/>
      </tp>
      <tp t="s">
        <v>-</v>
        <stp/>
        <stp>T&amp;T0</stp>
        <stp>AGAG</stp>
        <stp>145</stp>
        <tr r="G148" s="1"/>
      </tp>
      <tp t="s">
        <v>-</v>
        <stp/>
        <stp>T&amp;T0</stp>
        <stp>AGAG</stp>
        <stp>144</stp>
        <tr r="G147" s="1"/>
      </tp>
      <tp t="s">
        <v>-</v>
        <stp/>
        <stp>T&amp;T0</stp>
        <stp>AGAG</stp>
        <stp>143</stp>
        <tr r="G146" s="1"/>
      </tp>
      <tp t="s">
        <v>-</v>
        <stp/>
        <stp>T&amp;T0</stp>
        <stp>AGAG</stp>
        <stp>142</stp>
        <tr r="G145" s="1"/>
      </tp>
      <tp t="s">
        <v>-</v>
        <stp/>
        <stp>T&amp;T0</stp>
        <stp>AGAG</stp>
        <stp>141</stp>
        <tr r="G144" s="1"/>
      </tp>
      <tp t="s">
        <v>-</v>
        <stp/>
        <stp>T&amp;T0</stp>
        <stp>AGAG</stp>
        <stp>140</stp>
        <tr r="G143" s="1"/>
      </tp>
      <tp t="s">
        <v>-</v>
        <stp/>
        <stp>T&amp;T0</stp>
        <stp>AGAG</stp>
        <stp>179</stp>
        <tr r="G182" s="1"/>
      </tp>
      <tp t="s">
        <v>-</v>
        <stp/>
        <stp>T&amp;T0</stp>
        <stp>AGAG</stp>
        <stp>178</stp>
        <tr r="G181" s="1"/>
      </tp>
      <tp t="s">
        <v>-</v>
        <stp/>
        <stp>T&amp;T0</stp>
        <stp>AGAG</stp>
        <stp>177</stp>
        <tr r="G180" s="1"/>
      </tp>
      <tp t="s">
        <v>-</v>
        <stp/>
        <stp>T&amp;T0</stp>
        <stp>AGAG</stp>
        <stp>176</stp>
        <tr r="G179" s="1"/>
      </tp>
      <tp t="s">
        <v>-</v>
        <stp/>
        <stp>T&amp;T0</stp>
        <stp>AGAG</stp>
        <stp>175</stp>
        <tr r="G178" s="1"/>
      </tp>
      <tp t="s">
        <v>-</v>
        <stp/>
        <stp>T&amp;T0</stp>
        <stp>AGAG</stp>
        <stp>174</stp>
        <tr r="G177" s="1"/>
      </tp>
      <tp t="s">
        <v>-</v>
        <stp/>
        <stp>T&amp;T0</stp>
        <stp>AGAG</stp>
        <stp>173</stp>
        <tr r="G176" s="1"/>
      </tp>
      <tp t="s">
        <v>-</v>
        <stp/>
        <stp>T&amp;T0</stp>
        <stp>AGAG</stp>
        <stp>172</stp>
        <tr r="G175" s="1"/>
      </tp>
      <tp t="s">
        <v>-</v>
        <stp/>
        <stp>T&amp;T0</stp>
        <stp>AGAG</stp>
        <stp>171</stp>
        <tr r="G174" s="1"/>
      </tp>
      <tp t="s">
        <v>-</v>
        <stp/>
        <stp>T&amp;T0</stp>
        <stp>AGAG</stp>
        <stp>170</stp>
        <tr r="G173" s="1"/>
      </tp>
      <tp t="s">
        <v>-</v>
        <stp/>
        <stp>T&amp;T0</stp>
        <stp>AGAG</stp>
        <stp>169</stp>
        <tr r="G172" s="1"/>
      </tp>
      <tp t="s">
        <v>-</v>
        <stp/>
        <stp>T&amp;T0</stp>
        <stp>AGAG</stp>
        <stp>168</stp>
        <tr r="G171" s="1"/>
      </tp>
      <tp t="s">
        <v>-</v>
        <stp/>
        <stp>T&amp;T0</stp>
        <stp>AGAG</stp>
        <stp>167</stp>
        <tr r="G170" s="1"/>
      </tp>
      <tp t="s">
        <v>-</v>
        <stp/>
        <stp>T&amp;T0</stp>
        <stp>AGAG</stp>
        <stp>166</stp>
        <tr r="G169" s="1"/>
      </tp>
      <tp t="s">
        <v>-</v>
        <stp/>
        <stp>T&amp;T0</stp>
        <stp>AGAG</stp>
        <stp>165</stp>
        <tr r="G168" s="1"/>
      </tp>
      <tp t="s">
        <v>-</v>
        <stp/>
        <stp>T&amp;T0</stp>
        <stp>AGAG</stp>
        <stp>164</stp>
        <tr r="G167" s="1"/>
      </tp>
      <tp t="s">
        <v>-</v>
        <stp/>
        <stp>T&amp;T0</stp>
        <stp>AGAG</stp>
        <stp>163</stp>
        <tr r="G166" s="1"/>
      </tp>
      <tp t="s">
        <v>-</v>
        <stp/>
        <stp>T&amp;T0</stp>
        <stp>AGAG</stp>
        <stp>162</stp>
        <tr r="G165" s="1"/>
      </tp>
      <tp t="s">
        <v>-</v>
        <stp/>
        <stp>T&amp;T0</stp>
        <stp>AGAG</stp>
        <stp>161</stp>
        <tr r="G164" s="1"/>
      </tp>
      <tp t="s">
        <v>-</v>
        <stp/>
        <stp>T&amp;T0</stp>
        <stp>AGAG</stp>
        <stp>160</stp>
        <tr r="G163" s="1"/>
      </tp>
      <tp t="s">
        <v>-</v>
        <stp/>
        <stp>T&amp;T0</stp>
        <stp>AGAG</stp>
        <stp>119</stp>
        <tr r="G122" s="1"/>
      </tp>
      <tp t="s">
        <v>-</v>
        <stp/>
        <stp>T&amp;T0</stp>
        <stp>AGAG</stp>
        <stp>118</stp>
        <tr r="G121" s="1"/>
      </tp>
      <tp t="s">
        <v>-</v>
        <stp/>
        <stp>T&amp;T0</stp>
        <stp>AGAG</stp>
        <stp>117</stp>
        <tr r="G120" s="1"/>
      </tp>
      <tp t="s">
        <v>-</v>
        <stp/>
        <stp>T&amp;T0</stp>
        <stp>AGAG</stp>
        <stp>116</stp>
        <tr r="G119" s="1"/>
      </tp>
      <tp t="s">
        <v>-</v>
        <stp/>
        <stp>T&amp;T0</stp>
        <stp>AGAG</stp>
        <stp>115</stp>
        <tr r="G118" s="1"/>
      </tp>
      <tp t="s">
        <v>-</v>
        <stp/>
        <stp>T&amp;T0</stp>
        <stp>AGAG</stp>
        <stp>114</stp>
        <tr r="G117" s="1"/>
      </tp>
      <tp t="s">
        <v>-</v>
        <stp/>
        <stp>T&amp;T0</stp>
        <stp>AGAG</stp>
        <stp>113</stp>
        <tr r="G116" s="1"/>
      </tp>
      <tp t="s">
        <v>-</v>
        <stp/>
        <stp>T&amp;T0</stp>
        <stp>AGAG</stp>
        <stp>112</stp>
        <tr r="G115" s="1"/>
      </tp>
      <tp t="s">
        <v>-</v>
        <stp/>
        <stp>T&amp;T0</stp>
        <stp>AGAG</stp>
        <stp>111</stp>
        <tr r="G114" s="1"/>
      </tp>
      <tp t="s">
        <v>-</v>
        <stp/>
        <stp>T&amp;T0</stp>
        <stp>AGAG</stp>
        <stp>110</stp>
        <tr r="G113" s="1"/>
      </tp>
      <tp t="s">
        <v>-</v>
        <stp/>
        <stp>T&amp;T0</stp>
        <stp>AGAG</stp>
        <stp>109</stp>
        <tr r="G112" s="1"/>
      </tp>
      <tp t="s">
        <v>-</v>
        <stp/>
        <stp>T&amp;T0</stp>
        <stp>AGAG</stp>
        <stp>108</stp>
        <tr r="G111" s="1"/>
      </tp>
      <tp t="s">
        <v>-</v>
        <stp/>
        <stp>T&amp;T0</stp>
        <stp>AGAG</stp>
        <stp>107</stp>
        <tr r="G110" s="1"/>
      </tp>
      <tp t="s">
        <v>-</v>
        <stp/>
        <stp>T&amp;T0</stp>
        <stp>AGAG</stp>
        <stp>106</stp>
        <tr r="G109" s="1"/>
      </tp>
      <tp t="s">
        <v>-</v>
        <stp/>
        <stp>T&amp;T0</stp>
        <stp>AGAG</stp>
        <stp>105</stp>
        <tr r="G108" s="1"/>
      </tp>
      <tp t="s">
        <v>-</v>
        <stp/>
        <stp>T&amp;T0</stp>
        <stp>AGAG</stp>
        <stp>104</stp>
        <tr r="G107" s="1"/>
      </tp>
      <tp t="s">
        <v>-</v>
        <stp/>
        <stp>T&amp;T0</stp>
        <stp>AGAG</stp>
        <stp>103</stp>
        <tr r="G106" s="1"/>
      </tp>
      <tp t="s">
        <v>-</v>
        <stp/>
        <stp>T&amp;T0</stp>
        <stp>AGAG</stp>
        <stp>102</stp>
        <tr r="G105" s="1"/>
      </tp>
      <tp t="s">
        <v>-</v>
        <stp/>
        <stp>T&amp;T0</stp>
        <stp>AGAG</stp>
        <stp>101</stp>
        <tr r="G104" s="1"/>
      </tp>
      <tp t="s">
        <v>-</v>
        <stp/>
        <stp>T&amp;T0</stp>
        <stp>AGAG</stp>
        <stp>100</stp>
        <tr r="G103" s="1"/>
      </tp>
      <tp t="s">
        <v>-</v>
        <stp/>
        <stp>T&amp;T0</stp>
        <stp>AGAG</stp>
        <stp>139</stp>
        <tr r="G142" s="1"/>
      </tp>
      <tp t="s">
        <v>-</v>
        <stp/>
        <stp>T&amp;T0</stp>
        <stp>AGAG</stp>
        <stp>138</stp>
        <tr r="G141" s="1"/>
      </tp>
      <tp t="s">
        <v>-</v>
        <stp/>
        <stp>T&amp;T0</stp>
        <stp>AGAG</stp>
        <stp>137</stp>
        <tr r="G140" s="1"/>
      </tp>
      <tp t="s">
        <v>-</v>
        <stp/>
        <stp>T&amp;T0</stp>
        <stp>AGAG</stp>
        <stp>136</stp>
        <tr r="G139" s="1"/>
      </tp>
      <tp t="s">
        <v>-</v>
        <stp/>
        <stp>T&amp;T0</stp>
        <stp>AGAG</stp>
        <stp>135</stp>
        <tr r="G138" s="1"/>
      </tp>
      <tp t="s">
        <v>-</v>
        <stp/>
        <stp>T&amp;T0</stp>
        <stp>AGAG</stp>
        <stp>134</stp>
        <tr r="G137" s="1"/>
      </tp>
      <tp t="s">
        <v>-</v>
        <stp/>
        <stp>T&amp;T0</stp>
        <stp>AGAG</stp>
        <stp>133</stp>
        <tr r="G136" s="1"/>
      </tp>
      <tp t="s">
        <v>-</v>
        <stp/>
        <stp>T&amp;T0</stp>
        <stp>AGAG</stp>
        <stp>132</stp>
        <tr r="G135" s="1"/>
      </tp>
      <tp t="s">
        <v>-</v>
        <stp/>
        <stp>T&amp;T0</stp>
        <stp>AGAG</stp>
        <stp>131</stp>
        <tr r="G134" s="1"/>
      </tp>
      <tp t="s">
        <v>-</v>
        <stp/>
        <stp>T&amp;T0</stp>
        <stp>AGAG</stp>
        <stp>130</stp>
        <tr r="G133" s="1"/>
      </tp>
      <tp t="s">
        <v>-</v>
        <stp/>
        <stp>T&amp;T0</stp>
        <stp>AGAG</stp>
        <stp>129</stp>
        <tr r="G132" s="1"/>
      </tp>
      <tp t="s">
        <v>-</v>
        <stp/>
        <stp>T&amp;T0</stp>
        <stp>AGAG</stp>
        <stp>128</stp>
        <tr r="G131" s="1"/>
      </tp>
      <tp t="s">
        <v>-</v>
        <stp/>
        <stp>T&amp;T0</stp>
        <stp>AGAG</stp>
        <stp>127</stp>
        <tr r="G130" s="1"/>
      </tp>
      <tp t="s">
        <v>-</v>
        <stp/>
        <stp>T&amp;T0</stp>
        <stp>AGAG</stp>
        <stp>126</stp>
        <tr r="G129" s="1"/>
      </tp>
      <tp t="s">
        <v>-</v>
        <stp/>
        <stp>T&amp;T0</stp>
        <stp>AGAG</stp>
        <stp>125</stp>
        <tr r="G128" s="1"/>
      </tp>
      <tp t="s">
        <v>-</v>
        <stp/>
        <stp>T&amp;T0</stp>
        <stp>AGAG</stp>
        <stp>124</stp>
        <tr r="G127" s="1"/>
      </tp>
      <tp t="s">
        <v>-</v>
        <stp/>
        <stp>T&amp;T0</stp>
        <stp>AGAG</stp>
        <stp>123</stp>
        <tr r="G126" s="1"/>
      </tp>
      <tp t="s">
        <v>-</v>
        <stp/>
        <stp>T&amp;T0</stp>
        <stp>AGAG</stp>
        <stp>122</stp>
        <tr r="G125" s="1"/>
      </tp>
      <tp t="s">
        <v>-</v>
        <stp/>
        <stp>T&amp;T0</stp>
        <stp>AGAG</stp>
        <stp>121</stp>
        <tr r="G124" s="1"/>
      </tp>
      <tp t="s">
        <v>-</v>
        <stp/>
        <stp>T&amp;T0</stp>
        <stp>AGAG</stp>
        <stp>120</stp>
        <tr r="G123" s="1"/>
      </tp>
      <tp t="s">
        <v>-</v>
        <stp/>
        <stp>T&amp;T0</stp>
        <stp>AGAG</stp>
        <stp>199</stp>
        <tr r="G202" s="1"/>
      </tp>
      <tp t="s">
        <v>-</v>
        <stp/>
        <stp>T&amp;T0</stp>
        <stp>AGAG</stp>
        <stp>198</stp>
        <tr r="G201" s="1"/>
      </tp>
      <tp t="s">
        <v>-</v>
        <stp/>
        <stp>T&amp;T0</stp>
        <stp>AGAG</stp>
        <stp>197</stp>
        <tr r="G200" s="1"/>
      </tp>
      <tp t="s">
        <v>-</v>
        <stp/>
        <stp>T&amp;T0</stp>
        <stp>AGAG</stp>
        <stp>196</stp>
        <tr r="G199" s="1"/>
      </tp>
      <tp t="s">
        <v>-</v>
        <stp/>
        <stp>T&amp;T0</stp>
        <stp>AGAG</stp>
        <stp>195</stp>
        <tr r="G198" s="1"/>
      </tp>
      <tp t="s">
        <v>-</v>
        <stp/>
        <stp>T&amp;T0</stp>
        <stp>AGAG</stp>
        <stp>194</stp>
        <tr r="G197" s="1"/>
      </tp>
      <tp t="s">
        <v>-</v>
        <stp/>
        <stp>T&amp;T0</stp>
        <stp>AGAG</stp>
        <stp>193</stp>
        <tr r="G196" s="1"/>
      </tp>
      <tp t="s">
        <v>-</v>
        <stp/>
        <stp>T&amp;T0</stp>
        <stp>AGAG</stp>
        <stp>192</stp>
        <tr r="G195" s="1"/>
      </tp>
      <tp t="s">
        <v>-</v>
        <stp/>
        <stp>T&amp;T0</stp>
        <stp>AGAG</stp>
        <stp>191</stp>
        <tr r="G194" s="1"/>
      </tp>
      <tp t="s">
        <v>-</v>
        <stp/>
        <stp>T&amp;T0</stp>
        <stp>AGAG</stp>
        <stp>190</stp>
        <tr r="G193" s="1"/>
      </tp>
      <tp t="s">
        <v>-</v>
        <stp/>
        <stp>T&amp;T0</stp>
        <stp>AGAG</stp>
        <stp>189</stp>
        <tr r="G192" s="1"/>
      </tp>
      <tp t="s">
        <v>-</v>
        <stp/>
        <stp>T&amp;T0</stp>
        <stp>AGAG</stp>
        <stp>188</stp>
        <tr r="G191" s="1"/>
      </tp>
      <tp t="s">
        <v>-</v>
        <stp/>
        <stp>T&amp;T0</stp>
        <stp>AGAG</stp>
        <stp>187</stp>
        <tr r="G190" s="1"/>
      </tp>
      <tp t="s">
        <v>-</v>
        <stp/>
        <stp>T&amp;T0</stp>
        <stp>AGAG</stp>
        <stp>186</stp>
        <tr r="G189" s="1"/>
      </tp>
      <tp t="s">
        <v>-</v>
        <stp/>
        <stp>T&amp;T0</stp>
        <stp>AGAG</stp>
        <stp>185</stp>
        <tr r="G188" s="1"/>
      </tp>
      <tp t="s">
        <v>-</v>
        <stp/>
        <stp>T&amp;T0</stp>
        <stp>AGAG</stp>
        <stp>184</stp>
        <tr r="G187" s="1"/>
      </tp>
      <tp t="s">
        <v>-</v>
        <stp/>
        <stp>T&amp;T0</stp>
        <stp>AGAG</stp>
        <stp>183</stp>
        <tr r="G186" s="1"/>
      </tp>
      <tp t="s">
        <v>-</v>
        <stp/>
        <stp>T&amp;T0</stp>
        <stp>AGAG</stp>
        <stp>182</stp>
        <tr r="G185" s="1"/>
      </tp>
      <tp t="s">
        <v>-</v>
        <stp/>
        <stp>T&amp;T0</stp>
        <stp>AGAG</stp>
        <stp>181</stp>
        <tr r="G184" s="1"/>
      </tp>
      <tp t="s">
        <v>-</v>
        <stp/>
        <stp>T&amp;T0</stp>
        <stp>AGAG</stp>
        <stp>180</stp>
        <tr r="G183" s="1"/>
      </tp>
      <tp t="s">
        <v>-</v>
        <stp/>
        <stp>T&amp;T0</stp>
        <stp>AGAG</stp>
        <stp>459</stp>
        <tr r="G462" s="1"/>
      </tp>
      <tp t="s">
        <v>-</v>
        <stp/>
        <stp>T&amp;T0</stp>
        <stp>AGAG</stp>
        <stp>458</stp>
        <tr r="G461" s="1"/>
      </tp>
      <tp t="s">
        <v>-</v>
        <stp/>
        <stp>T&amp;T0</stp>
        <stp>AGAG</stp>
        <stp>457</stp>
        <tr r="G460" s="1"/>
      </tp>
      <tp t="s">
        <v>-</v>
        <stp/>
        <stp>T&amp;T0</stp>
        <stp>AGAG</stp>
        <stp>456</stp>
        <tr r="G459" s="1"/>
      </tp>
      <tp t="s">
        <v>-</v>
        <stp/>
        <stp>T&amp;T0</stp>
        <stp>AGAG</stp>
        <stp>455</stp>
        <tr r="G458" s="1"/>
      </tp>
      <tp t="s">
        <v>-</v>
        <stp/>
        <stp>T&amp;T0</stp>
        <stp>AGAG</stp>
        <stp>454</stp>
        <tr r="G457" s="1"/>
      </tp>
      <tp t="s">
        <v>-</v>
        <stp/>
        <stp>T&amp;T0</stp>
        <stp>AGAG</stp>
        <stp>453</stp>
        <tr r="G456" s="1"/>
      </tp>
      <tp t="s">
        <v>-</v>
        <stp/>
        <stp>T&amp;T0</stp>
        <stp>AGAG</stp>
        <stp>452</stp>
        <tr r="G455" s="1"/>
      </tp>
      <tp t="s">
        <v>-</v>
        <stp/>
        <stp>T&amp;T0</stp>
        <stp>AGAG</stp>
        <stp>451</stp>
        <tr r="G454" s="1"/>
      </tp>
      <tp t="s">
        <v>-</v>
        <stp/>
        <stp>T&amp;T0</stp>
        <stp>AGAG</stp>
        <stp>450</stp>
        <tr r="G453" s="1"/>
      </tp>
      <tp t="s">
        <v>-</v>
        <stp/>
        <stp>T&amp;T0</stp>
        <stp>AGAG</stp>
        <stp>449</stp>
        <tr r="G452" s="1"/>
      </tp>
      <tp t="s">
        <v>-</v>
        <stp/>
        <stp>T&amp;T0</stp>
        <stp>AGAG</stp>
        <stp>448</stp>
        <tr r="G451" s="1"/>
      </tp>
      <tp t="s">
        <v>-</v>
        <stp/>
        <stp>T&amp;T0</stp>
        <stp>AGAG</stp>
        <stp>447</stp>
        <tr r="G450" s="1"/>
      </tp>
      <tp t="s">
        <v>-</v>
        <stp/>
        <stp>T&amp;T0</stp>
        <stp>AGAG</stp>
        <stp>446</stp>
        <tr r="G449" s="1"/>
      </tp>
      <tp t="s">
        <v>-</v>
        <stp/>
        <stp>T&amp;T0</stp>
        <stp>AGAG</stp>
        <stp>445</stp>
        <tr r="G448" s="1"/>
      </tp>
      <tp t="s">
        <v>-</v>
        <stp/>
        <stp>T&amp;T0</stp>
        <stp>AGAG</stp>
        <stp>444</stp>
        <tr r="G447" s="1"/>
      </tp>
      <tp t="s">
        <v>-</v>
        <stp/>
        <stp>T&amp;T0</stp>
        <stp>AGAG</stp>
        <stp>443</stp>
        <tr r="G446" s="1"/>
      </tp>
      <tp t="s">
        <v>-</v>
        <stp/>
        <stp>T&amp;T0</stp>
        <stp>AGAG</stp>
        <stp>442</stp>
        <tr r="G445" s="1"/>
      </tp>
      <tp t="s">
        <v>-</v>
        <stp/>
        <stp>T&amp;T0</stp>
        <stp>AGAG</stp>
        <stp>441</stp>
        <tr r="G444" s="1"/>
      </tp>
      <tp t="s">
        <v>-</v>
        <stp/>
        <stp>T&amp;T0</stp>
        <stp>AGAG</stp>
        <stp>440</stp>
        <tr r="G443" s="1"/>
      </tp>
      <tp t="s">
        <v>-</v>
        <stp/>
        <stp>T&amp;T0</stp>
        <stp>AGAG</stp>
        <stp>479</stp>
        <tr r="G482" s="1"/>
      </tp>
      <tp t="s">
        <v>-</v>
        <stp/>
        <stp>T&amp;T0</stp>
        <stp>AGAG</stp>
        <stp>478</stp>
        <tr r="G481" s="1"/>
      </tp>
      <tp t="s">
        <v>-</v>
        <stp/>
        <stp>T&amp;T0</stp>
        <stp>AGAG</stp>
        <stp>477</stp>
        <tr r="G480" s="1"/>
      </tp>
      <tp t="s">
        <v>-</v>
        <stp/>
        <stp>T&amp;T0</stp>
        <stp>AGAG</stp>
        <stp>476</stp>
        <tr r="G479" s="1"/>
      </tp>
      <tp t="s">
        <v>-</v>
        <stp/>
        <stp>T&amp;T0</stp>
        <stp>AGAG</stp>
        <stp>475</stp>
        <tr r="G478" s="1"/>
      </tp>
      <tp t="s">
        <v>-</v>
        <stp/>
        <stp>T&amp;T0</stp>
        <stp>AGAG</stp>
        <stp>474</stp>
        <tr r="G477" s="1"/>
      </tp>
      <tp t="s">
        <v>-</v>
        <stp/>
        <stp>T&amp;T0</stp>
        <stp>AGAG</stp>
        <stp>473</stp>
        <tr r="G476" s="1"/>
      </tp>
      <tp t="s">
        <v>-</v>
        <stp/>
        <stp>T&amp;T0</stp>
        <stp>AGAG</stp>
        <stp>472</stp>
        <tr r="G475" s="1"/>
      </tp>
      <tp t="s">
        <v>-</v>
        <stp/>
        <stp>T&amp;T0</stp>
        <stp>AGAG</stp>
        <stp>471</stp>
        <tr r="G474" s="1"/>
      </tp>
      <tp t="s">
        <v>-</v>
        <stp/>
        <stp>T&amp;T0</stp>
        <stp>AGAG</stp>
        <stp>470</stp>
        <tr r="G473" s="1"/>
      </tp>
      <tp t="s">
        <v>-</v>
        <stp/>
        <stp>T&amp;T0</stp>
        <stp>AGAG</stp>
        <stp>469</stp>
        <tr r="G472" s="1"/>
      </tp>
      <tp t="s">
        <v>-</v>
        <stp/>
        <stp>T&amp;T0</stp>
        <stp>AGAG</stp>
        <stp>468</stp>
        <tr r="G471" s="1"/>
      </tp>
      <tp t="s">
        <v>-</v>
        <stp/>
        <stp>T&amp;T0</stp>
        <stp>AGAG</stp>
        <stp>467</stp>
        <tr r="G470" s="1"/>
      </tp>
      <tp t="s">
        <v>-</v>
        <stp/>
        <stp>T&amp;T0</stp>
        <stp>AGAG</stp>
        <stp>466</stp>
        <tr r="G469" s="1"/>
      </tp>
      <tp t="s">
        <v>-</v>
        <stp/>
        <stp>T&amp;T0</stp>
        <stp>AGAG</stp>
        <stp>465</stp>
        <tr r="G468" s="1"/>
      </tp>
      <tp t="s">
        <v>-</v>
        <stp/>
        <stp>T&amp;T0</stp>
        <stp>AGAG</stp>
        <stp>464</stp>
        <tr r="G467" s="1"/>
      </tp>
      <tp t="s">
        <v>-</v>
        <stp/>
        <stp>T&amp;T0</stp>
        <stp>AGAG</stp>
        <stp>463</stp>
        <tr r="G466" s="1"/>
      </tp>
      <tp t="s">
        <v>-</v>
        <stp/>
        <stp>T&amp;T0</stp>
        <stp>AGAG</stp>
        <stp>462</stp>
        <tr r="G465" s="1"/>
      </tp>
      <tp t="s">
        <v>-</v>
        <stp/>
        <stp>T&amp;T0</stp>
        <stp>AGAG</stp>
        <stp>461</stp>
        <tr r="G464" s="1"/>
      </tp>
      <tp t="s">
        <v>-</v>
        <stp/>
        <stp>T&amp;T0</stp>
        <stp>AGAG</stp>
        <stp>460</stp>
        <tr r="G463" s="1"/>
      </tp>
      <tp t="s">
        <v>-</v>
        <stp/>
        <stp>T&amp;T0</stp>
        <stp>AGAG</stp>
        <stp>419</stp>
        <tr r="G422" s="1"/>
      </tp>
      <tp t="s">
        <v>-</v>
        <stp/>
        <stp>T&amp;T0</stp>
        <stp>AGAG</stp>
        <stp>418</stp>
        <tr r="G421" s="1"/>
      </tp>
      <tp t="s">
        <v>-</v>
        <stp/>
        <stp>T&amp;T0</stp>
        <stp>AGAG</stp>
        <stp>417</stp>
        <tr r="G420" s="1"/>
      </tp>
      <tp t="s">
        <v>-</v>
        <stp/>
        <stp>T&amp;T0</stp>
        <stp>AGAG</stp>
        <stp>416</stp>
        <tr r="G419" s="1"/>
      </tp>
      <tp t="s">
        <v>-</v>
        <stp/>
        <stp>T&amp;T0</stp>
        <stp>AGAG</stp>
        <stp>415</stp>
        <tr r="G418" s="1"/>
      </tp>
      <tp t="s">
        <v>-</v>
        <stp/>
        <stp>T&amp;T0</stp>
        <stp>AGAG</stp>
        <stp>414</stp>
        <tr r="G417" s="1"/>
      </tp>
      <tp t="s">
        <v>-</v>
        <stp/>
        <stp>T&amp;T0</stp>
        <stp>AGAG</stp>
        <stp>413</stp>
        <tr r="G416" s="1"/>
      </tp>
      <tp t="s">
        <v>-</v>
        <stp/>
        <stp>T&amp;T0</stp>
        <stp>AGAG</stp>
        <stp>412</stp>
        <tr r="G415" s="1"/>
      </tp>
      <tp t="s">
        <v>-</v>
        <stp/>
        <stp>T&amp;T0</stp>
        <stp>AGAG</stp>
        <stp>411</stp>
        <tr r="G414" s="1"/>
      </tp>
      <tp t="s">
        <v>-</v>
        <stp/>
        <stp>T&amp;T0</stp>
        <stp>AGAG</stp>
        <stp>410</stp>
        <tr r="G413" s="1"/>
      </tp>
      <tp t="s">
        <v>-</v>
        <stp/>
        <stp>T&amp;T0</stp>
        <stp>AGAG</stp>
        <stp>409</stp>
        <tr r="G412" s="1"/>
      </tp>
      <tp t="s">
        <v>-</v>
        <stp/>
        <stp>T&amp;T0</stp>
        <stp>AGAG</stp>
        <stp>408</stp>
        <tr r="G411" s="1"/>
      </tp>
      <tp t="s">
        <v>-</v>
        <stp/>
        <stp>T&amp;T0</stp>
        <stp>AGAG</stp>
        <stp>407</stp>
        <tr r="G410" s="1"/>
      </tp>
      <tp t="s">
        <v>-</v>
        <stp/>
        <stp>T&amp;T0</stp>
        <stp>AGAG</stp>
        <stp>406</stp>
        <tr r="G409" s="1"/>
      </tp>
      <tp t="s">
        <v>-</v>
        <stp/>
        <stp>T&amp;T0</stp>
        <stp>AGAG</stp>
        <stp>405</stp>
        <tr r="G408" s="1"/>
      </tp>
      <tp t="s">
        <v>-</v>
        <stp/>
        <stp>T&amp;T0</stp>
        <stp>AGAG</stp>
        <stp>404</stp>
        <tr r="G407" s="1"/>
      </tp>
      <tp t="s">
        <v>-</v>
        <stp/>
        <stp>T&amp;T0</stp>
        <stp>AGAG</stp>
        <stp>403</stp>
        <tr r="G406" s="1"/>
      </tp>
      <tp t="s">
        <v>-</v>
        <stp/>
        <stp>T&amp;T0</stp>
        <stp>AGAG</stp>
        <stp>402</stp>
        <tr r="G405" s="1"/>
      </tp>
      <tp t="s">
        <v>-</v>
        <stp/>
        <stp>T&amp;T0</stp>
        <stp>AGAG</stp>
        <stp>401</stp>
        <tr r="G404" s="1"/>
      </tp>
      <tp t="s">
        <v>-</v>
        <stp/>
        <stp>T&amp;T0</stp>
        <stp>AGAG</stp>
        <stp>400</stp>
        <tr r="G403" s="1"/>
      </tp>
      <tp t="s">
        <v>-</v>
        <stp/>
        <stp>T&amp;T0</stp>
        <stp>AGAG</stp>
        <stp>439</stp>
        <tr r="G442" s="1"/>
      </tp>
      <tp t="s">
        <v>-</v>
        <stp/>
        <stp>T&amp;T0</stp>
        <stp>AGAG</stp>
        <stp>438</stp>
        <tr r="G441" s="1"/>
      </tp>
      <tp t="s">
        <v>-</v>
        <stp/>
        <stp>T&amp;T0</stp>
        <stp>AGAG</stp>
        <stp>437</stp>
        <tr r="G440" s="1"/>
      </tp>
      <tp t="s">
        <v>-</v>
        <stp/>
        <stp>T&amp;T0</stp>
        <stp>AGAG</stp>
        <stp>436</stp>
        <tr r="G439" s="1"/>
      </tp>
      <tp t="s">
        <v>-</v>
        <stp/>
        <stp>T&amp;T0</stp>
        <stp>AGAG</stp>
        <stp>435</stp>
        <tr r="G438" s="1"/>
      </tp>
      <tp t="s">
        <v>-</v>
        <stp/>
        <stp>T&amp;T0</stp>
        <stp>AGAG</stp>
        <stp>434</stp>
        <tr r="G437" s="1"/>
      </tp>
      <tp t="s">
        <v>-</v>
        <stp/>
        <stp>T&amp;T0</stp>
        <stp>AGAG</stp>
        <stp>433</stp>
        <tr r="G436" s="1"/>
      </tp>
      <tp t="s">
        <v>-</v>
        <stp/>
        <stp>T&amp;T0</stp>
        <stp>AGAG</stp>
        <stp>432</stp>
        <tr r="G435" s="1"/>
      </tp>
      <tp t="s">
        <v>-</v>
        <stp/>
        <stp>T&amp;T0</stp>
        <stp>AGAG</stp>
        <stp>431</stp>
        <tr r="G434" s="1"/>
      </tp>
      <tp t="s">
        <v>-</v>
        <stp/>
        <stp>T&amp;T0</stp>
        <stp>AGAG</stp>
        <stp>430</stp>
        <tr r="G433" s="1"/>
      </tp>
      <tp t="s">
        <v>-</v>
        <stp/>
        <stp>T&amp;T0</stp>
        <stp>AGAG</stp>
        <stp>429</stp>
        <tr r="G432" s="1"/>
      </tp>
      <tp t="s">
        <v>-</v>
        <stp/>
        <stp>T&amp;T0</stp>
        <stp>AGAG</stp>
        <stp>428</stp>
        <tr r="G431" s="1"/>
      </tp>
      <tp t="s">
        <v>-</v>
        <stp/>
        <stp>T&amp;T0</stp>
        <stp>AGAG</stp>
        <stp>427</stp>
        <tr r="G430" s="1"/>
      </tp>
      <tp t="s">
        <v>-</v>
        <stp/>
        <stp>T&amp;T0</stp>
        <stp>AGAG</stp>
        <stp>426</stp>
        <tr r="G429" s="1"/>
      </tp>
      <tp t="s">
        <v>-</v>
        <stp/>
        <stp>T&amp;T0</stp>
        <stp>AGAG</stp>
        <stp>425</stp>
        <tr r="G428" s="1"/>
      </tp>
      <tp t="s">
        <v>-</v>
        <stp/>
        <stp>T&amp;T0</stp>
        <stp>AGAG</stp>
        <stp>424</stp>
        <tr r="G427" s="1"/>
      </tp>
      <tp t="s">
        <v>-</v>
        <stp/>
        <stp>T&amp;T0</stp>
        <stp>AGAG</stp>
        <stp>423</stp>
        <tr r="G426" s="1"/>
      </tp>
      <tp t="s">
        <v>-</v>
        <stp/>
        <stp>T&amp;T0</stp>
        <stp>AGAG</stp>
        <stp>422</stp>
        <tr r="G425" s="1"/>
      </tp>
      <tp t="s">
        <v>-</v>
        <stp/>
        <stp>T&amp;T0</stp>
        <stp>AGAG</stp>
        <stp>421</stp>
        <tr r="G424" s="1"/>
      </tp>
      <tp t="s">
        <v>-</v>
        <stp/>
        <stp>T&amp;T0</stp>
        <stp>AGAG</stp>
        <stp>420</stp>
        <tr r="G423" s="1"/>
      </tp>
      <tp t="s">
        <v>-</v>
        <stp/>
        <stp>T&amp;T0</stp>
        <stp>AGAG</stp>
        <stp>499</stp>
        <tr r="G502" s="1"/>
        <tr r="G503" s="1"/>
      </tp>
      <tp t="s">
        <v>-</v>
        <stp/>
        <stp>T&amp;T0</stp>
        <stp>AGAG</stp>
        <stp>498</stp>
        <tr r="G501" s="1"/>
      </tp>
      <tp t="s">
        <v>-</v>
        <stp/>
        <stp>T&amp;T0</stp>
        <stp>AGAG</stp>
        <stp>497</stp>
        <tr r="G500" s="1"/>
      </tp>
      <tp t="s">
        <v>-</v>
        <stp/>
        <stp>T&amp;T0</stp>
        <stp>AGAG</stp>
        <stp>496</stp>
        <tr r="G499" s="1"/>
      </tp>
      <tp t="s">
        <v>-</v>
        <stp/>
        <stp>T&amp;T0</stp>
        <stp>AGAG</stp>
        <stp>495</stp>
        <tr r="G498" s="1"/>
      </tp>
      <tp t="s">
        <v>-</v>
        <stp/>
        <stp>T&amp;T0</stp>
        <stp>AGAG</stp>
        <stp>494</stp>
        <tr r="G497" s="1"/>
      </tp>
      <tp t="s">
        <v>-</v>
        <stp/>
        <stp>T&amp;T0</stp>
        <stp>AGAG</stp>
        <stp>493</stp>
        <tr r="G496" s="1"/>
      </tp>
      <tp t="s">
        <v>-</v>
        <stp/>
        <stp>T&amp;T0</stp>
        <stp>AGAG</stp>
        <stp>492</stp>
        <tr r="G495" s="1"/>
      </tp>
      <tp t="s">
        <v>-</v>
        <stp/>
        <stp>T&amp;T0</stp>
        <stp>AGAG</stp>
        <stp>491</stp>
        <tr r="G494" s="1"/>
      </tp>
      <tp t="s">
        <v>-</v>
        <stp/>
        <stp>T&amp;T0</stp>
        <stp>AGAG</stp>
        <stp>490</stp>
        <tr r="G493" s="1"/>
      </tp>
      <tp t="s">
        <v>-</v>
        <stp/>
        <stp>T&amp;T0</stp>
        <stp>AGAG</stp>
        <stp>489</stp>
        <tr r="G492" s="1"/>
      </tp>
      <tp t="s">
        <v>-</v>
        <stp/>
        <stp>T&amp;T0</stp>
        <stp>AGAG</stp>
        <stp>488</stp>
        <tr r="G491" s="1"/>
      </tp>
      <tp t="s">
        <v>-</v>
        <stp/>
        <stp>T&amp;T0</stp>
        <stp>AGAG</stp>
        <stp>487</stp>
        <tr r="G490" s="1"/>
      </tp>
      <tp t="s">
        <v>-</v>
        <stp/>
        <stp>T&amp;T0</stp>
        <stp>AGAG</stp>
        <stp>486</stp>
        <tr r="G489" s="1"/>
      </tp>
      <tp t="s">
        <v>-</v>
        <stp/>
        <stp>T&amp;T0</stp>
        <stp>AGAG</stp>
        <stp>485</stp>
        <tr r="G488" s="1"/>
      </tp>
      <tp t="s">
        <v>-</v>
        <stp/>
        <stp>T&amp;T0</stp>
        <stp>AGAG</stp>
        <stp>484</stp>
        <tr r="G487" s="1"/>
      </tp>
      <tp t="s">
        <v>-</v>
        <stp/>
        <stp>T&amp;T0</stp>
        <stp>AGAG</stp>
        <stp>483</stp>
        <tr r="G486" s="1"/>
      </tp>
      <tp t="s">
        <v>-</v>
        <stp/>
        <stp>T&amp;T0</stp>
        <stp>AGAG</stp>
        <stp>482</stp>
        <tr r="G485" s="1"/>
      </tp>
      <tp t="s">
        <v>-</v>
        <stp/>
        <stp>T&amp;T0</stp>
        <stp>AGAG</stp>
        <stp>481</stp>
        <tr r="G484" s="1"/>
      </tp>
      <tp t="s">
        <v>-</v>
        <stp/>
        <stp>T&amp;T0</stp>
        <stp>AGAG</stp>
        <stp>480</stp>
        <tr r="G483" s="1"/>
      </tp>
      <tp>
        <v>0</v>
        <stp/>
        <stp>T&amp;T0</stp>
        <stp>QUL</stp>
        <stp>99</stp>
        <tr r="D102" s="1"/>
      </tp>
      <tp>
        <v>0</v>
        <stp/>
        <stp>T&amp;T0</stp>
        <stp>QUL</stp>
        <stp>98</stp>
        <tr r="D101" s="1"/>
      </tp>
      <tp>
        <v>0</v>
        <stp/>
        <stp>T&amp;T0</stp>
        <stp>PRE</stp>
        <stp>88</stp>
        <tr r="C91" s="1"/>
      </tp>
      <tp>
        <v>0</v>
        <stp/>
        <stp>T&amp;T0</stp>
        <stp>PRE</stp>
        <stp>89</stp>
        <tr r="C92" s="1"/>
      </tp>
      <tp>
        <v>0</v>
        <stp/>
        <stp>T&amp;T0</stp>
        <stp>PRE</stp>
        <stp>86</stp>
        <tr r="C89" s="1"/>
      </tp>
      <tp>
        <v>0</v>
        <stp/>
        <stp>T&amp;T0</stp>
        <stp>QUL</stp>
        <stp>91</stp>
        <tr r="D94" s="1"/>
      </tp>
      <tp>
        <v>0</v>
        <stp/>
        <stp>T&amp;T0</stp>
        <stp>PRE</stp>
        <stp>87</stp>
        <tr r="C90" s="1"/>
      </tp>
      <tp>
        <v>0</v>
        <stp/>
        <stp>T&amp;T0</stp>
        <stp>QUL</stp>
        <stp>90</stp>
        <tr r="D93" s="1"/>
      </tp>
      <tp>
        <v>0</v>
        <stp/>
        <stp>T&amp;T0</stp>
        <stp>PRE</stp>
        <stp>84</stp>
        <tr r="C87" s="1"/>
      </tp>
      <tp>
        <v>0</v>
        <stp/>
        <stp>T&amp;T0</stp>
        <stp>QUL</stp>
        <stp>93</stp>
        <tr r="D96" s="1"/>
      </tp>
      <tp>
        <v>0</v>
        <stp/>
        <stp>T&amp;T0</stp>
        <stp>PRE</stp>
        <stp>85</stp>
        <tr r="C88" s="1"/>
      </tp>
      <tp>
        <v>0</v>
        <stp/>
        <stp>T&amp;T0</stp>
        <stp>QUL</stp>
        <stp>92</stp>
        <tr r="D95" s="1"/>
      </tp>
      <tp>
        <v>0</v>
        <stp/>
        <stp>T&amp;T0</stp>
        <stp>PRE</stp>
        <stp>82</stp>
        <tr r="C85" s="1"/>
      </tp>
      <tp>
        <v>0</v>
        <stp/>
        <stp>T&amp;T0</stp>
        <stp>QUL</stp>
        <stp>95</stp>
        <tr r="D98" s="1"/>
      </tp>
      <tp>
        <v>0</v>
        <stp/>
        <stp>T&amp;T0</stp>
        <stp>PRE</stp>
        <stp>83</stp>
        <tr r="C86" s="1"/>
      </tp>
      <tp>
        <v>0</v>
        <stp/>
        <stp>T&amp;T0</stp>
        <stp>QUL</stp>
        <stp>94</stp>
        <tr r="D97" s="1"/>
      </tp>
      <tp>
        <v>0</v>
        <stp/>
        <stp>T&amp;T0</stp>
        <stp>PRE</stp>
        <stp>80</stp>
        <tr r="C83" s="1"/>
      </tp>
      <tp>
        <v>0</v>
        <stp/>
        <stp>T&amp;T0</stp>
        <stp>QUL</stp>
        <stp>97</stp>
        <tr r="D100" s="1"/>
      </tp>
      <tp>
        <v>0</v>
        <stp/>
        <stp>T&amp;T0</stp>
        <stp>PRE</stp>
        <stp>81</stp>
        <tr r="C84" s="1"/>
      </tp>
      <tp>
        <v>0</v>
        <stp/>
        <stp>T&amp;T0</stp>
        <stp>QUL</stp>
        <stp>96</stp>
        <tr r="D99" s="1"/>
      </tp>
      <tp>
        <v>0</v>
        <stp/>
        <stp>T&amp;T0</stp>
        <stp>QUL</stp>
        <stp>89</stp>
        <tr r="D92" s="1"/>
      </tp>
      <tp>
        <v>0</v>
        <stp/>
        <stp>T&amp;T0</stp>
        <stp>QUL</stp>
        <stp>88</stp>
        <tr r="D91" s="1"/>
      </tp>
      <tp>
        <v>0</v>
        <stp/>
        <stp>T&amp;T0</stp>
        <stp>PRE</stp>
        <stp>98</stp>
        <tr r="C101" s="1"/>
      </tp>
      <tp>
        <v>0</v>
        <stp/>
        <stp>T&amp;T0</stp>
        <stp>PRE</stp>
        <stp>99</stp>
        <tr r="C102" s="1"/>
      </tp>
      <tp>
        <v>0</v>
        <stp/>
        <stp>T&amp;T0</stp>
        <stp>PRE</stp>
        <stp>96</stp>
        <tr r="C99" s="1"/>
      </tp>
      <tp>
        <v>0</v>
        <stp/>
        <stp>T&amp;T0</stp>
        <stp>QUL</stp>
        <stp>81</stp>
        <tr r="D84" s="1"/>
      </tp>
      <tp>
        <v>0</v>
        <stp/>
        <stp>T&amp;T0</stp>
        <stp>PRE</stp>
        <stp>97</stp>
        <tr r="C100" s="1"/>
      </tp>
      <tp>
        <v>0</v>
        <stp/>
        <stp>T&amp;T0</stp>
        <stp>QUL</stp>
        <stp>80</stp>
        <tr r="D83" s="1"/>
      </tp>
      <tp>
        <v>0</v>
        <stp/>
        <stp>T&amp;T0</stp>
        <stp>PRE</stp>
        <stp>94</stp>
        <tr r="C97" s="1"/>
      </tp>
      <tp>
        <v>0</v>
        <stp/>
        <stp>T&amp;T0</stp>
        <stp>QUL</stp>
        <stp>83</stp>
        <tr r="D86" s="1"/>
      </tp>
      <tp>
        <v>0</v>
        <stp/>
        <stp>T&amp;T0</stp>
        <stp>PRE</stp>
        <stp>95</stp>
        <tr r="C98" s="1"/>
      </tp>
      <tp>
        <v>0</v>
        <stp/>
        <stp>T&amp;T0</stp>
        <stp>QUL</stp>
        <stp>82</stp>
        <tr r="D85" s="1"/>
      </tp>
      <tp>
        <v>0</v>
        <stp/>
        <stp>T&amp;T0</stp>
        <stp>PRE</stp>
        <stp>92</stp>
        <tr r="C95" s="1"/>
      </tp>
      <tp>
        <v>0</v>
        <stp/>
        <stp>T&amp;T0</stp>
        <stp>QUL</stp>
        <stp>85</stp>
        <tr r="D88" s="1"/>
      </tp>
      <tp>
        <v>0</v>
        <stp/>
        <stp>T&amp;T0</stp>
        <stp>PRE</stp>
        <stp>93</stp>
        <tr r="C96" s="1"/>
      </tp>
      <tp>
        <v>0</v>
        <stp/>
        <stp>T&amp;T0</stp>
        <stp>QUL</stp>
        <stp>84</stp>
        <tr r="D87" s="1"/>
      </tp>
      <tp>
        <v>0</v>
        <stp/>
        <stp>T&amp;T0</stp>
        <stp>PRE</stp>
        <stp>90</stp>
        <tr r="C93" s="1"/>
      </tp>
      <tp>
        <v>0</v>
        <stp/>
        <stp>T&amp;T0</stp>
        <stp>QUL</stp>
        <stp>87</stp>
        <tr r="D90" s="1"/>
      </tp>
      <tp>
        <v>0</v>
        <stp/>
        <stp>T&amp;T0</stp>
        <stp>PRE</stp>
        <stp>91</stp>
        <tr r="C94" s="1"/>
      </tp>
      <tp>
        <v>0</v>
        <stp/>
        <stp>T&amp;T0</stp>
        <stp>QUL</stp>
        <stp>86</stp>
        <tr r="D89" s="1"/>
      </tp>
      <tp>
        <v>0</v>
        <stp/>
        <stp>T&amp;T0</stp>
        <stp>QUL</stp>
        <stp>39</stp>
        <tr r="D42" s="1"/>
      </tp>
      <tp>
        <v>0</v>
        <stp/>
        <stp>T&amp;T0</stp>
        <stp>QUL</stp>
        <stp>38</stp>
        <tr r="D41" s="1"/>
      </tp>
      <tp>
        <v>0</v>
        <stp/>
        <stp>T&amp;T0</stp>
        <stp>PRE</stp>
        <stp>28</stp>
        <tr r="C31" s="1"/>
      </tp>
      <tp>
        <v>0</v>
        <stp/>
        <stp>T&amp;T0</stp>
        <stp>PRE</stp>
        <stp>29</stp>
        <tr r="C32" s="1"/>
      </tp>
      <tp>
        <v>0</v>
        <stp/>
        <stp>T&amp;T0</stp>
        <stp>PRE</stp>
        <stp>26</stp>
        <tr r="C29" s="1"/>
      </tp>
      <tp>
        <v>0</v>
        <stp/>
        <stp>T&amp;T0</stp>
        <stp>QUL</stp>
        <stp>31</stp>
        <tr r="D34" s="1"/>
      </tp>
      <tp>
        <v>0</v>
        <stp/>
        <stp>T&amp;T0</stp>
        <stp>PRE</stp>
        <stp>27</stp>
        <tr r="C30" s="1"/>
      </tp>
      <tp>
        <v>0</v>
        <stp/>
        <stp>T&amp;T0</stp>
        <stp>QUL</stp>
        <stp>30</stp>
        <tr r="D33" s="1"/>
      </tp>
      <tp>
        <v>0</v>
        <stp/>
        <stp>T&amp;T0</stp>
        <stp>PRE</stp>
        <stp>24</stp>
        <tr r="C27" s="1"/>
      </tp>
      <tp>
        <v>0</v>
        <stp/>
        <stp>T&amp;T0</stp>
        <stp>QUL</stp>
        <stp>33</stp>
        <tr r="D36" s="1"/>
      </tp>
      <tp>
        <v>0</v>
        <stp/>
        <stp>T&amp;T0</stp>
        <stp>PRE</stp>
        <stp>25</stp>
        <tr r="C28" s="1"/>
      </tp>
      <tp>
        <v>0</v>
        <stp/>
        <stp>T&amp;T0</stp>
        <stp>QUL</stp>
        <stp>32</stp>
        <tr r="D35" s="1"/>
      </tp>
      <tp>
        <v>0</v>
        <stp/>
        <stp>T&amp;T0</stp>
        <stp>PRE</stp>
        <stp>22</stp>
        <tr r="C25" s="1"/>
      </tp>
      <tp>
        <v>0</v>
        <stp/>
        <stp>T&amp;T0</stp>
        <stp>QUL</stp>
        <stp>35</stp>
        <tr r="D38" s="1"/>
      </tp>
      <tp>
        <v>0</v>
        <stp/>
        <stp>T&amp;T0</stp>
        <stp>PRE</stp>
        <stp>23</stp>
        <tr r="C26" s="1"/>
      </tp>
      <tp>
        <v>0</v>
        <stp/>
        <stp>T&amp;T0</stp>
        <stp>QUL</stp>
        <stp>34</stp>
        <tr r="D37" s="1"/>
      </tp>
      <tp>
        <v>0</v>
        <stp/>
        <stp>T&amp;T0</stp>
        <stp>PRE</stp>
        <stp>20</stp>
        <tr r="C23" s="1"/>
      </tp>
      <tp>
        <v>0</v>
        <stp/>
        <stp>T&amp;T0</stp>
        <stp>QUL</stp>
        <stp>37</stp>
        <tr r="D40" s="1"/>
      </tp>
      <tp>
        <v>0</v>
        <stp/>
        <stp>T&amp;T0</stp>
        <stp>PRE</stp>
        <stp>21</stp>
        <tr r="C24" s="1"/>
      </tp>
      <tp>
        <v>0</v>
        <stp/>
        <stp>T&amp;T0</stp>
        <stp>QUL</stp>
        <stp>36</stp>
        <tr r="D39" s="1"/>
      </tp>
      <tp>
        <v>0</v>
        <stp/>
        <stp>T&amp;T0</stp>
        <stp>QUL</stp>
        <stp>29</stp>
        <tr r="D32" s="1"/>
      </tp>
      <tp>
        <v>0</v>
        <stp/>
        <stp>T&amp;T0</stp>
        <stp>QUL</stp>
        <stp>28</stp>
        <tr r="D31" s="1"/>
      </tp>
      <tp>
        <v>0</v>
        <stp/>
        <stp>T&amp;T0</stp>
        <stp>PRE</stp>
        <stp>38</stp>
        <tr r="C41" s="1"/>
      </tp>
      <tp>
        <v>0</v>
        <stp/>
        <stp>T&amp;T0</stp>
        <stp>PRE</stp>
        <stp>39</stp>
        <tr r="C42" s="1"/>
      </tp>
      <tp>
        <v>0</v>
        <stp/>
        <stp>T&amp;T0</stp>
        <stp>PRE</stp>
        <stp>36</stp>
        <tr r="C39" s="1"/>
      </tp>
      <tp>
        <v>0</v>
        <stp/>
        <stp>T&amp;T0</stp>
        <stp>QUL</stp>
        <stp>21</stp>
        <tr r="D24" s="1"/>
      </tp>
      <tp>
        <v>0</v>
        <stp/>
        <stp>T&amp;T0</stp>
        <stp>PRE</stp>
        <stp>37</stp>
        <tr r="C40" s="1"/>
      </tp>
      <tp>
        <v>0</v>
        <stp/>
        <stp>T&amp;T0</stp>
        <stp>QUL</stp>
        <stp>20</stp>
        <tr r="D23" s="1"/>
      </tp>
      <tp>
        <v>0</v>
        <stp/>
        <stp>T&amp;T0</stp>
        <stp>PRE</stp>
        <stp>34</stp>
        <tr r="C37" s="1"/>
      </tp>
      <tp>
        <v>0</v>
        <stp/>
        <stp>T&amp;T0</stp>
        <stp>QUL</stp>
        <stp>23</stp>
        <tr r="D26" s="1"/>
      </tp>
      <tp>
        <v>0</v>
        <stp/>
        <stp>T&amp;T0</stp>
        <stp>PRE</stp>
        <stp>35</stp>
        <tr r="C38" s="1"/>
      </tp>
      <tp>
        <v>0</v>
        <stp/>
        <stp>T&amp;T0</stp>
        <stp>QUL</stp>
        <stp>22</stp>
        <tr r="D25" s="1"/>
      </tp>
      <tp>
        <v>0</v>
        <stp/>
        <stp>T&amp;T0</stp>
        <stp>PRE</stp>
        <stp>32</stp>
        <tr r="C35" s="1"/>
      </tp>
      <tp>
        <v>0</v>
        <stp/>
        <stp>T&amp;T0</stp>
        <stp>QUL</stp>
        <stp>25</stp>
        <tr r="D28" s="1"/>
      </tp>
      <tp>
        <v>0</v>
        <stp/>
        <stp>T&amp;T0</stp>
        <stp>PRE</stp>
        <stp>33</stp>
        <tr r="C36" s="1"/>
      </tp>
      <tp>
        <v>0</v>
        <stp/>
        <stp>T&amp;T0</stp>
        <stp>QUL</stp>
        <stp>24</stp>
        <tr r="D27" s="1"/>
      </tp>
      <tp>
        <v>0</v>
        <stp/>
        <stp>T&amp;T0</stp>
        <stp>PRE</stp>
        <stp>30</stp>
        <tr r="C33" s="1"/>
      </tp>
      <tp>
        <v>0</v>
        <stp/>
        <stp>T&amp;T0</stp>
        <stp>QUL</stp>
        <stp>27</stp>
        <tr r="D30" s="1"/>
      </tp>
      <tp>
        <v>0</v>
        <stp/>
        <stp>T&amp;T0</stp>
        <stp>PRE</stp>
        <stp>31</stp>
        <tr r="C34" s="1"/>
      </tp>
      <tp>
        <v>0</v>
        <stp/>
        <stp>T&amp;T0</stp>
        <stp>QUL</stp>
        <stp>26</stp>
        <tr r="D29" s="1"/>
      </tp>
      <tp>
        <v>0</v>
        <stp/>
        <stp>T&amp;T0</stp>
        <stp>QUL</stp>
        <stp>19</stp>
        <tr r="D22" s="1"/>
      </tp>
      <tp>
        <v>0</v>
        <stp/>
        <stp>T&amp;T0</stp>
        <stp>QUL</stp>
        <stp>18</stp>
        <tr r="D21" s="1"/>
      </tp>
      <tp>
        <v>0</v>
        <stp/>
        <stp>T&amp;T0</stp>
        <stp>QUL</stp>
        <stp>11</stp>
        <tr r="D14" s="1"/>
      </tp>
      <tp>
        <v>0</v>
        <stp/>
        <stp>T&amp;T0</stp>
        <stp>QUL</stp>
        <stp>10</stp>
        <tr r="D13" s="1"/>
      </tp>
      <tp>
        <v>0</v>
        <stp/>
        <stp>T&amp;T0</stp>
        <stp>QUL</stp>
        <stp>13</stp>
        <tr r="D16" s="1"/>
      </tp>
      <tp>
        <v>0</v>
        <stp/>
        <stp>T&amp;T0</stp>
        <stp>QUL</stp>
        <stp>12</stp>
        <tr r="D15" s="1"/>
      </tp>
      <tp>
        <v>0</v>
        <stp/>
        <stp>T&amp;T0</stp>
        <stp>QUL</stp>
        <stp>15</stp>
        <tr r="D18" s="1"/>
      </tp>
      <tp>
        <v>0</v>
        <stp/>
        <stp>T&amp;T0</stp>
        <stp>QUL</stp>
        <stp>14</stp>
        <tr r="D17" s="1"/>
      </tp>
      <tp>
        <v>0</v>
        <stp/>
        <stp>T&amp;T0</stp>
        <stp>QUL</stp>
        <stp>17</stp>
        <tr r="D20" s="1"/>
      </tp>
      <tp>
        <v>0</v>
        <stp/>
        <stp>T&amp;T0</stp>
        <stp>QUL</stp>
        <stp>16</stp>
        <tr r="D19" s="1"/>
      </tp>
      <tp>
        <v>0</v>
        <stp/>
        <stp>T&amp;T0</stp>
        <stp>PRE</stp>
        <stp>18</stp>
        <tr r="C21" s="1"/>
      </tp>
      <tp>
        <v>0</v>
        <stp/>
        <stp>T&amp;T0</stp>
        <stp>PRE</stp>
        <stp>19</stp>
        <tr r="C22" s="1"/>
      </tp>
      <tp>
        <v>0</v>
        <stp/>
        <stp>T&amp;T0</stp>
        <stp>PRE</stp>
        <stp>16</stp>
        <tr r="C19" s="1"/>
      </tp>
      <tp>
        <v>0</v>
        <stp/>
        <stp>T&amp;T0</stp>
        <stp>PRE</stp>
        <stp>17</stp>
        <tr r="C20" s="1"/>
      </tp>
      <tp>
        <v>0</v>
        <stp/>
        <stp>T&amp;T0</stp>
        <stp>PRE</stp>
        <stp>14</stp>
        <tr r="C17" s="1"/>
      </tp>
      <tp>
        <v>0</v>
        <stp/>
        <stp>T&amp;T0</stp>
        <stp>PRE</stp>
        <stp>15</stp>
        <tr r="C18" s="1"/>
      </tp>
      <tp>
        <v>0</v>
        <stp/>
        <stp>T&amp;T0</stp>
        <stp>PRE</stp>
        <stp>12</stp>
        <tr r="C15" s="1"/>
      </tp>
      <tp>
        <v>0</v>
        <stp/>
        <stp>T&amp;T0</stp>
        <stp>PRE</stp>
        <stp>13</stp>
        <tr r="C16" s="1"/>
      </tp>
      <tp>
        <v>0</v>
        <stp/>
        <stp>T&amp;T0</stp>
        <stp>PRE</stp>
        <stp>10</stp>
        <tr r="C13" s="1"/>
      </tp>
      <tp>
        <v>0</v>
        <stp/>
        <stp>T&amp;T0</stp>
        <stp>PRE</stp>
        <stp>11</stp>
        <tr r="C14" s="1"/>
      </tp>
      <tp>
        <v>0</v>
        <stp/>
        <stp>T&amp;T0</stp>
        <stp>QUL</stp>
        <stp>79</stp>
        <tr r="D82" s="1"/>
      </tp>
      <tp>
        <v>0</v>
        <stp/>
        <stp>T&amp;T0</stp>
        <stp>QUL</stp>
        <stp>78</stp>
        <tr r="D81" s="1"/>
      </tp>
      <tp>
        <v>0</v>
        <stp/>
        <stp>T&amp;T0</stp>
        <stp>PRE</stp>
        <stp>68</stp>
        <tr r="C71" s="1"/>
      </tp>
      <tp>
        <v>0</v>
        <stp/>
        <stp>T&amp;T0</stp>
        <stp>PRE</stp>
        <stp>69</stp>
        <tr r="C72" s="1"/>
      </tp>
      <tp>
        <v>0</v>
        <stp/>
        <stp>T&amp;T0</stp>
        <stp>PRE</stp>
        <stp>66</stp>
        <tr r="C69" s="1"/>
      </tp>
      <tp>
        <v>0</v>
        <stp/>
        <stp>T&amp;T0</stp>
        <stp>QUL</stp>
        <stp>71</stp>
        <tr r="D74" s="1"/>
      </tp>
      <tp>
        <v>0</v>
        <stp/>
        <stp>T&amp;T0</stp>
        <stp>PRE</stp>
        <stp>67</stp>
        <tr r="C70" s="1"/>
      </tp>
      <tp>
        <v>0</v>
        <stp/>
        <stp>T&amp;T0</stp>
        <stp>QUL</stp>
        <stp>70</stp>
        <tr r="D73" s="1"/>
      </tp>
      <tp>
        <v>0</v>
        <stp/>
        <stp>T&amp;T0</stp>
        <stp>PRE</stp>
        <stp>64</stp>
        <tr r="C67" s="1"/>
      </tp>
      <tp>
        <v>0</v>
        <stp/>
        <stp>T&amp;T0</stp>
        <stp>QUL</stp>
        <stp>73</stp>
        <tr r="D76" s="1"/>
      </tp>
      <tp>
        <v>0</v>
        <stp/>
        <stp>T&amp;T0</stp>
        <stp>PRE</stp>
        <stp>65</stp>
        <tr r="C68" s="1"/>
      </tp>
      <tp>
        <v>0</v>
        <stp/>
        <stp>T&amp;T0</stp>
        <stp>QUL</stp>
        <stp>72</stp>
        <tr r="D75" s="1"/>
      </tp>
      <tp>
        <v>0</v>
        <stp/>
        <stp>T&amp;T0</stp>
        <stp>PRE</stp>
        <stp>62</stp>
        <tr r="C65" s="1"/>
      </tp>
      <tp>
        <v>0</v>
        <stp/>
        <stp>T&amp;T0</stp>
        <stp>QUL</stp>
        <stp>75</stp>
        <tr r="D78" s="1"/>
      </tp>
      <tp>
        <v>0</v>
        <stp/>
        <stp>T&amp;T0</stp>
        <stp>PRE</stp>
        <stp>63</stp>
        <tr r="C66" s="1"/>
      </tp>
      <tp>
        <v>0</v>
        <stp/>
        <stp>T&amp;T0</stp>
        <stp>QUL</stp>
        <stp>74</stp>
        <tr r="D77" s="1"/>
      </tp>
      <tp>
        <v>0</v>
        <stp/>
        <stp>T&amp;T0</stp>
        <stp>PRE</stp>
        <stp>60</stp>
        <tr r="C63" s="1"/>
      </tp>
      <tp>
        <v>0</v>
        <stp/>
        <stp>T&amp;T0</stp>
        <stp>QUL</stp>
        <stp>77</stp>
        <tr r="D80" s="1"/>
      </tp>
      <tp>
        <v>0</v>
        <stp/>
        <stp>T&amp;T0</stp>
        <stp>PRE</stp>
        <stp>61</stp>
        <tr r="C64" s="1"/>
      </tp>
      <tp>
        <v>0</v>
        <stp/>
        <stp>T&amp;T0</stp>
        <stp>QUL</stp>
        <stp>76</stp>
        <tr r="D79" s="1"/>
      </tp>
      <tp>
        <v>0</v>
        <stp/>
        <stp>T&amp;T0</stp>
        <stp>QUL</stp>
        <stp>69</stp>
        <tr r="D72" s="1"/>
      </tp>
      <tp>
        <v>0</v>
        <stp/>
        <stp>T&amp;T0</stp>
        <stp>QUL</stp>
        <stp>68</stp>
        <tr r="D71" s="1"/>
      </tp>
      <tp>
        <v>0</v>
        <stp/>
        <stp>T&amp;T0</stp>
        <stp>PRE</stp>
        <stp>78</stp>
        <tr r="C81" s="1"/>
      </tp>
      <tp>
        <v>0</v>
        <stp/>
        <stp>T&amp;T0</stp>
        <stp>PRE</stp>
        <stp>79</stp>
        <tr r="C82" s="1"/>
      </tp>
      <tp>
        <v>0</v>
        <stp/>
        <stp>T&amp;T0</stp>
        <stp>PRE</stp>
        <stp>76</stp>
        <tr r="C79" s="1"/>
      </tp>
      <tp>
        <v>0</v>
        <stp/>
        <stp>T&amp;T0</stp>
        <stp>QUL</stp>
        <stp>61</stp>
        <tr r="D64" s="1"/>
      </tp>
      <tp>
        <v>0</v>
        <stp/>
        <stp>T&amp;T0</stp>
        <stp>PRE</stp>
        <stp>77</stp>
        <tr r="C80" s="1"/>
      </tp>
      <tp>
        <v>0</v>
        <stp/>
        <stp>T&amp;T0</stp>
        <stp>QUL</stp>
        <stp>60</stp>
        <tr r="D63" s="1"/>
      </tp>
      <tp>
        <v>0</v>
        <stp/>
        <stp>T&amp;T0</stp>
        <stp>PRE</stp>
        <stp>74</stp>
        <tr r="C77" s="1"/>
      </tp>
      <tp>
        <v>0</v>
        <stp/>
        <stp>T&amp;T0</stp>
        <stp>QUL</stp>
        <stp>63</stp>
        <tr r="D66" s="1"/>
      </tp>
      <tp>
        <v>0</v>
        <stp/>
        <stp>T&amp;T0</stp>
        <stp>PRE</stp>
        <stp>75</stp>
        <tr r="C78" s="1"/>
      </tp>
      <tp>
        <v>0</v>
        <stp/>
        <stp>T&amp;T0</stp>
        <stp>QUL</stp>
        <stp>62</stp>
        <tr r="D65" s="1"/>
      </tp>
      <tp>
        <v>0</v>
        <stp/>
        <stp>T&amp;T0</stp>
        <stp>PRE</stp>
        <stp>72</stp>
        <tr r="C75" s="1"/>
      </tp>
      <tp>
        <v>0</v>
        <stp/>
        <stp>T&amp;T0</stp>
        <stp>QUL</stp>
        <stp>65</stp>
        <tr r="D68" s="1"/>
      </tp>
      <tp>
        <v>0</v>
        <stp/>
        <stp>T&amp;T0</stp>
        <stp>PRE</stp>
        <stp>73</stp>
        <tr r="C76" s="1"/>
      </tp>
      <tp>
        <v>0</v>
        <stp/>
        <stp>T&amp;T0</stp>
        <stp>QUL</stp>
        <stp>64</stp>
        <tr r="D67" s="1"/>
      </tp>
      <tp>
        <v>0</v>
        <stp/>
        <stp>T&amp;T0</stp>
        <stp>PRE</stp>
        <stp>70</stp>
        <tr r="C73" s="1"/>
      </tp>
      <tp>
        <v>0</v>
        <stp/>
        <stp>T&amp;T0</stp>
        <stp>QUL</stp>
        <stp>67</stp>
        <tr r="D70" s="1"/>
      </tp>
      <tp>
        <v>0</v>
        <stp/>
        <stp>T&amp;T0</stp>
        <stp>PRE</stp>
        <stp>71</stp>
        <tr r="C74" s="1"/>
      </tp>
      <tp>
        <v>0</v>
        <stp/>
        <stp>T&amp;T0</stp>
        <stp>QUL</stp>
        <stp>66</stp>
        <tr r="D69" s="1"/>
      </tp>
      <tp>
        <v>0</v>
        <stp/>
        <stp>T&amp;T0</stp>
        <stp>QUL</stp>
        <stp>59</stp>
        <tr r="D62" s="1"/>
      </tp>
      <tp>
        <v>0</v>
        <stp/>
        <stp>T&amp;T0</stp>
        <stp>QUL</stp>
        <stp>58</stp>
        <tr r="D61" s="1"/>
      </tp>
      <tp>
        <v>0</v>
        <stp/>
        <stp>T&amp;T0</stp>
        <stp>PRE</stp>
        <stp>48</stp>
        <tr r="C51" s="1"/>
      </tp>
      <tp>
        <v>0</v>
        <stp/>
        <stp>T&amp;T0</stp>
        <stp>PRE</stp>
        <stp>49</stp>
        <tr r="C52" s="1"/>
      </tp>
      <tp>
        <v>0</v>
        <stp/>
        <stp>T&amp;T0</stp>
        <stp>PRE</stp>
        <stp>46</stp>
        <tr r="C49" s="1"/>
      </tp>
      <tp>
        <v>0</v>
        <stp/>
        <stp>T&amp;T0</stp>
        <stp>QUL</stp>
        <stp>51</stp>
        <tr r="D54" s="1"/>
      </tp>
      <tp>
        <v>0</v>
        <stp/>
        <stp>T&amp;T0</stp>
        <stp>PRE</stp>
        <stp>47</stp>
        <tr r="C50" s="1"/>
      </tp>
      <tp>
        <v>0</v>
        <stp/>
        <stp>T&amp;T0</stp>
        <stp>QUL</stp>
        <stp>50</stp>
        <tr r="D53" s="1"/>
      </tp>
      <tp>
        <v>0</v>
        <stp/>
        <stp>T&amp;T0</stp>
        <stp>PRE</stp>
        <stp>44</stp>
        <tr r="C47" s="1"/>
      </tp>
      <tp>
        <v>0</v>
        <stp/>
        <stp>T&amp;T0</stp>
        <stp>QUL</stp>
        <stp>53</stp>
        <tr r="D56" s="1"/>
      </tp>
      <tp>
        <v>0</v>
        <stp/>
        <stp>T&amp;T0</stp>
        <stp>PRE</stp>
        <stp>45</stp>
        <tr r="C48" s="1"/>
      </tp>
      <tp>
        <v>0</v>
        <stp/>
        <stp>T&amp;T0</stp>
        <stp>QUL</stp>
        <stp>52</stp>
        <tr r="D55" s="1"/>
      </tp>
      <tp>
        <v>0</v>
        <stp/>
        <stp>T&amp;T0</stp>
        <stp>PRE</stp>
        <stp>42</stp>
        <tr r="C45" s="1"/>
      </tp>
      <tp>
        <v>0</v>
        <stp/>
        <stp>T&amp;T0</stp>
        <stp>QUL</stp>
        <stp>55</stp>
        <tr r="D58" s="1"/>
      </tp>
      <tp>
        <v>0</v>
        <stp/>
        <stp>T&amp;T0</stp>
        <stp>PRE</stp>
        <stp>43</stp>
        <tr r="C46" s="1"/>
      </tp>
      <tp>
        <v>0</v>
        <stp/>
        <stp>T&amp;T0</stp>
        <stp>QUL</stp>
        <stp>54</stp>
        <tr r="D57" s="1"/>
      </tp>
      <tp>
        <v>0</v>
        <stp/>
        <stp>T&amp;T0</stp>
        <stp>PRE</stp>
        <stp>40</stp>
        <tr r="C43" s="1"/>
      </tp>
      <tp>
        <v>0</v>
        <stp/>
        <stp>T&amp;T0</stp>
        <stp>QUL</stp>
        <stp>57</stp>
        <tr r="D60" s="1"/>
      </tp>
      <tp>
        <v>0</v>
        <stp/>
        <stp>T&amp;T0</stp>
        <stp>PRE</stp>
        <stp>41</stp>
        <tr r="C44" s="1"/>
      </tp>
      <tp>
        <v>0</v>
        <stp/>
        <stp>T&amp;T0</stp>
        <stp>QUL</stp>
        <stp>56</stp>
        <tr r="D59" s="1"/>
      </tp>
      <tp>
        <v>0</v>
        <stp/>
        <stp>T&amp;T0</stp>
        <stp>QUL</stp>
        <stp>49</stp>
        <tr r="D52" s="1"/>
      </tp>
      <tp>
        <v>0</v>
        <stp/>
        <stp>T&amp;T0</stp>
        <stp>QUL</stp>
        <stp>48</stp>
        <tr r="D51" s="1"/>
      </tp>
      <tp>
        <v>0</v>
        <stp/>
        <stp>T&amp;T0</stp>
        <stp>PRE</stp>
        <stp>58</stp>
        <tr r="C61" s="1"/>
      </tp>
      <tp>
        <v>0</v>
        <stp/>
        <stp>T&amp;T0</stp>
        <stp>PRE</stp>
        <stp>59</stp>
        <tr r="C62" s="1"/>
      </tp>
      <tp>
        <v>0</v>
        <stp/>
        <stp>T&amp;T0</stp>
        <stp>PRE</stp>
        <stp>56</stp>
        <tr r="C59" s="1"/>
      </tp>
      <tp>
        <v>0</v>
        <stp/>
        <stp>T&amp;T0</stp>
        <stp>QUL</stp>
        <stp>41</stp>
        <tr r="D44" s="1"/>
      </tp>
      <tp>
        <v>0</v>
        <stp/>
        <stp>T&amp;T0</stp>
        <stp>PRE</stp>
        <stp>57</stp>
        <tr r="C60" s="1"/>
      </tp>
      <tp>
        <v>0</v>
        <stp/>
        <stp>T&amp;T0</stp>
        <stp>QUL</stp>
        <stp>40</stp>
        <tr r="D43" s="1"/>
      </tp>
      <tp>
        <v>0</v>
        <stp/>
        <stp>T&amp;T0</stp>
        <stp>PRE</stp>
        <stp>54</stp>
        <tr r="C57" s="1"/>
      </tp>
      <tp>
        <v>0</v>
        <stp/>
        <stp>T&amp;T0</stp>
        <stp>QUL</stp>
        <stp>43</stp>
        <tr r="D46" s="1"/>
      </tp>
      <tp>
        <v>0</v>
        <stp/>
        <stp>T&amp;T0</stp>
        <stp>PRE</stp>
        <stp>55</stp>
        <tr r="C58" s="1"/>
      </tp>
      <tp>
        <v>0</v>
        <stp/>
        <stp>T&amp;T0</stp>
        <stp>QUL</stp>
        <stp>42</stp>
        <tr r="D45" s="1"/>
      </tp>
      <tp>
        <v>0</v>
        <stp/>
        <stp>T&amp;T0</stp>
        <stp>PRE</stp>
        <stp>52</stp>
        <tr r="C55" s="1"/>
      </tp>
      <tp>
        <v>0</v>
        <stp/>
        <stp>T&amp;T0</stp>
        <stp>QUL</stp>
        <stp>45</stp>
        <tr r="D48" s="1"/>
      </tp>
      <tp>
        <v>0</v>
        <stp/>
        <stp>T&amp;T0</stp>
        <stp>PRE</stp>
        <stp>53</stp>
        <tr r="C56" s="1"/>
      </tp>
      <tp>
        <v>0</v>
        <stp/>
        <stp>T&amp;T0</stp>
        <stp>QUL</stp>
        <stp>44</stp>
        <tr r="D47" s="1"/>
      </tp>
      <tp>
        <v>0</v>
        <stp/>
        <stp>T&amp;T0</stp>
        <stp>PRE</stp>
        <stp>50</stp>
        <tr r="C53" s="1"/>
      </tp>
      <tp>
        <v>0</v>
        <stp/>
        <stp>T&amp;T0</stp>
        <stp>QUL</stp>
        <stp>47</stp>
        <tr r="D50" s="1"/>
      </tp>
      <tp>
        <v>0</v>
        <stp/>
        <stp>T&amp;T0</stp>
        <stp>PRE</stp>
        <stp>51</stp>
        <tr r="C54" s="1"/>
      </tp>
      <tp>
        <v>0</v>
        <stp/>
        <stp>T&amp;T0</stp>
        <stp>QUL</stp>
        <stp>46</stp>
        <tr r="D49" s="1"/>
      </tp>
      <tp t="s">
        <v>-</v>
        <stp/>
        <stp>T&amp;T0</stp>
        <stp>AGR</stp>
        <stp>99</stp>
        <tr r="F102" s="1"/>
      </tp>
      <tp t="s">
        <v>-</v>
        <stp/>
        <stp>T&amp;T0</stp>
        <stp>AGR</stp>
        <stp>98</stp>
        <tr r="F101" s="1"/>
      </tp>
      <tp t="s">
        <v>-</v>
        <stp/>
        <stp>T&amp;T0</stp>
        <stp>ACP</stp>
        <stp>99</stp>
        <tr r="B102" s="1"/>
      </tp>
      <tp t="s">
        <v>-</v>
        <stp/>
        <stp>T&amp;T0</stp>
        <stp>ACP</stp>
        <stp>98</stp>
        <tr r="B101" s="1"/>
      </tp>
      <tp t="s">
        <v>-</v>
        <stp/>
        <stp>T&amp;T0</stp>
        <stp>ACP</stp>
        <stp>97</stp>
        <tr r="B100" s="1"/>
      </tp>
      <tp t="s">
        <v>-</v>
        <stp/>
        <stp>T&amp;T0</stp>
        <stp>AGR</stp>
        <stp>93</stp>
        <tr r="F96" s="1"/>
      </tp>
      <tp t="s">
        <v>-</v>
        <stp/>
        <stp>T&amp;T0</stp>
        <stp>ACP</stp>
        <stp>96</stp>
        <tr r="B99" s="1"/>
      </tp>
      <tp t="s">
        <v>-</v>
        <stp/>
        <stp>T&amp;T0</stp>
        <stp>AGR</stp>
        <stp>92</stp>
        <tr r="F95" s="1"/>
      </tp>
      <tp t="s">
        <v>-</v>
        <stp/>
        <stp>T&amp;T0</stp>
        <stp>ACP</stp>
        <stp>95</stp>
        <tr r="B98" s="1"/>
      </tp>
      <tp t="s">
        <v>-</v>
        <stp/>
        <stp>T&amp;T0</stp>
        <stp>AGR</stp>
        <stp>91</stp>
        <tr r="F94" s="1"/>
      </tp>
      <tp t="s">
        <v>-</v>
        <stp/>
        <stp>T&amp;T0</stp>
        <stp>ACP</stp>
        <stp>94</stp>
        <tr r="B97" s="1"/>
      </tp>
      <tp t="s">
        <v>-</v>
        <stp/>
        <stp>T&amp;T0</stp>
        <stp>AGR</stp>
        <stp>90</stp>
        <tr r="F93" s="1"/>
      </tp>
      <tp t="s">
        <v>-</v>
        <stp/>
        <stp>T&amp;T0</stp>
        <stp>ACP</stp>
        <stp>93</stp>
        <tr r="B96" s="1"/>
      </tp>
      <tp t="s">
        <v>-</v>
        <stp/>
        <stp>T&amp;T0</stp>
        <stp>AGR</stp>
        <stp>97</stp>
        <tr r="F100" s="1"/>
      </tp>
      <tp t="s">
        <v>-</v>
        <stp/>
        <stp>T&amp;T0</stp>
        <stp>ACP</stp>
        <stp>92</stp>
        <tr r="B95" s="1"/>
      </tp>
      <tp t="s">
        <v>-</v>
        <stp/>
        <stp>T&amp;T0</stp>
        <stp>AGR</stp>
        <stp>96</stp>
        <tr r="F99" s="1"/>
      </tp>
      <tp t="s">
        <v>-</v>
        <stp/>
        <stp>T&amp;T0</stp>
        <stp>ACP</stp>
        <stp>91</stp>
        <tr r="B94" s="1"/>
      </tp>
      <tp t="s">
        <v>-</v>
        <stp/>
        <stp>T&amp;T0</stp>
        <stp>AGR</stp>
        <stp>95</stp>
        <tr r="F98" s="1"/>
      </tp>
      <tp t="s">
        <v>-</v>
        <stp/>
        <stp>T&amp;T0</stp>
        <stp>ACP</stp>
        <stp>90</stp>
        <tr r="B93" s="1"/>
      </tp>
      <tp t="s">
        <v>-</v>
        <stp/>
        <stp>T&amp;T0</stp>
        <stp>AGR</stp>
        <stp>94</stp>
        <tr r="F97" s="1"/>
      </tp>
      <tp t="s">
        <v>-</v>
        <stp/>
        <stp>T&amp;T0</stp>
        <stp>AVD</stp>
        <stp>98</stp>
        <tr r="E101" s="1"/>
      </tp>
      <tp t="s">
        <v>-</v>
        <stp/>
        <stp>T&amp;T0</stp>
        <stp>AVD</stp>
        <stp>99</stp>
        <tr r="E102" s="1"/>
      </tp>
      <tp t="s">
        <v>-</v>
        <stp/>
        <stp>T&amp;T0</stp>
        <stp>AVD</stp>
        <stp>92</stp>
        <tr r="E95" s="1"/>
      </tp>
      <tp t="s">
        <v>-</v>
        <stp/>
        <stp>T&amp;T0</stp>
        <stp>AVD</stp>
        <stp>93</stp>
        <tr r="E96" s="1"/>
      </tp>
      <tp t="s">
        <v>-</v>
        <stp/>
        <stp>T&amp;T0</stp>
        <stp>AVD</stp>
        <stp>90</stp>
        <tr r="E93" s="1"/>
      </tp>
      <tp t="s">
        <v>-</v>
        <stp/>
        <stp>T&amp;T0</stp>
        <stp>AVD</stp>
        <stp>91</stp>
        <tr r="E94" s="1"/>
      </tp>
      <tp t="s">
        <v>-</v>
        <stp/>
        <stp>T&amp;T0</stp>
        <stp>AVD</stp>
        <stp>96</stp>
        <tr r="E99" s="1"/>
      </tp>
      <tp t="s">
        <v>-</v>
        <stp/>
        <stp>T&amp;T0</stp>
        <stp>AVD</stp>
        <stp>97</stp>
        <tr r="E100" s="1"/>
      </tp>
      <tp t="s">
        <v>-</v>
        <stp/>
        <stp>T&amp;T0</stp>
        <stp>AVD</stp>
        <stp>94</stp>
        <tr r="E97" s="1"/>
      </tp>
      <tp t="s">
        <v>-</v>
        <stp/>
        <stp>T&amp;T0</stp>
        <stp>AVD</stp>
        <stp>95</stp>
        <tr r="E98" s="1"/>
      </tp>
      <tp t="s">
        <v>-</v>
        <stp/>
        <stp>T&amp;T0</stp>
        <stp>AGR</stp>
        <stp>89</stp>
        <tr r="F92" s="1"/>
      </tp>
      <tp t="s">
        <v>-</v>
        <stp/>
        <stp>T&amp;T0</stp>
        <stp>AGR</stp>
        <stp>88</stp>
        <tr r="F91" s="1"/>
      </tp>
      <tp t="s">
        <v>-</v>
        <stp/>
        <stp>T&amp;T0</stp>
        <stp>ACP</stp>
        <stp>89</stp>
        <tr r="B92" s="1"/>
      </tp>
      <tp t="s">
        <v>-</v>
        <stp/>
        <stp>T&amp;T0</stp>
        <stp>ACP</stp>
        <stp>88</stp>
        <tr r="B91" s="1"/>
      </tp>
      <tp t="s">
        <v>-</v>
        <stp/>
        <stp>T&amp;T0</stp>
        <stp>ACP</stp>
        <stp>87</stp>
        <tr r="B90" s="1"/>
      </tp>
      <tp t="s">
        <v>-</v>
        <stp/>
        <stp>T&amp;T0</stp>
        <stp>AGR</stp>
        <stp>83</stp>
        <tr r="F86" s="1"/>
      </tp>
      <tp t="s">
        <v>-</v>
        <stp/>
        <stp>T&amp;T0</stp>
        <stp>ACP</stp>
        <stp>86</stp>
        <tr r="B89" s="1"/>
      </tp>
      <tp t="s">
        <v>-</v>
        <stp/>
        <stp>T&amp;T0</stp>
        <stp>AGR</stp>
        <stp>82</stp>
        <tr r="F85" s="1"/>
      </tp>
      <tp t="s">
        <v>-</v>
        <stp/>
        <stp>T&amp;T0</stp>
        <stp>ACP</stp>
        <stp>85</stp>
        <tr r="B88" s="1"/>
      </tp>
      <tp t="s">
        <v>-</v>
        <stp/>
        <stp>T&amp;T0</stp>
        <stp>AGR</stp>
        <stp>81</stp>
        <tr r="F84" s="1"/>
      </tp>
      <tp t="s">
        <v>-</v>
        <stp/>
        <stp>T&amp;T0</stp>
        <stp>ACP</stp>
        <stp>84</stp>
        <tr r="B87" s="1"/>
      </tp>
      <tp t="s">
        <v>-</v>
        <stp/>
        <stp>T&amp;T0</stp>
        <stp>AGR</stp>
        <stp>80</stp>
        <tr r="F83" s="1"/>
      </tp>
      <tp t="s">
        <v>-</v>
        <stp/>
        <stp>T&amp;T0</stp>
        <stp>ACP</stp>
        <stp>83</stp>
        <tr r="B86" s="1"/>
      </tp>
      <tp t="s">
        <v>-</v>
        <stp/>
        <stp>T&amp;T0</stp>
        <stp>AGR</stp>
        <stp>87</stp>
        <tr r="F90" s="1"/>
      </tp>
      <tp t="s">
        <v>-</v>
        <stp/>
        <stp>T&amp;T0</stp>
        <stp>ACP</stp>
        <stp>82</stp>
        <tr r="B85" s="1"/>
      </tp>
      <tp t="s">
        <v>-</v>
        <stp/>
        <stp>T&amp;T0</stp>
        <stp>AGR</stp>
        <stp>86</stp>
        <tr r="F89" s="1"/>
      </tp>
      <tp t="s">
        <v>-</v>
        <stp/>
        <stp>T&amp;T0</stp>
        <stp>ACP</stp>
        <stp>81</stp>
        <tr r="B84" s="1"/>
      </tp>
      <tp t="s">
        <v>-</v>
        <stp/>
        <stp>T&amp;T0</stp>
        <stp>AGR</stp>
        <stp>85</stp>
        <tr r="F88" s="1"/>
      </tp>
      <tp t="s">
        <v>-</v>
        <stp/>
        <stp>T&amp;T0</stp>
        <stp>ACP</stp>
        <stp>80</stp>
        <tr r="B83" s="1"/>
      </tp>
      <tp t="s">
        <v>-</v>
        <stp/>
        <stp>T&amp;T0</stp>
        <stp>AGR</stp>
        <stp>84</stp>
        <tr r="F87" s="1"/>
      </tp>
      <tp t="s">
        <v>-</v>
        <stp/>
        <stp>T&amp;T0</stp>
        <stp>AVD</stp>
        <stp>88</stp>
        <tr r="E91" s="1"/>
      </tp>
      <tp t="s">
        <v>-</v>
        <stp/>
        <stp>T&amp;T0</stp>
        <stp>AVD</stp>
        <stp>89</stp>
        <tr r="E92" s="1"/>
      </tp>
      <tp t="s">
        <v>-</v>
        <stp/>
        <stp>T&amp;T0</stp>
        <stp>AVD</stp>
        <stp>82</stp>
        <tr r="E85" s="1"/>
      </tp>
      <tp t="s">
        <v>-</v>
        <stp/>
        <stp>T&amp;T0</stp>
        <stp>AVD</stp>
        <stp>83</stp>
        <tr r="E86" s="1"/>
      </tp>
      <tp t="s">
        <v>-</v>
        <stp/>
        <stp>T&amp;T0</stp>
        <stp>AVD</stp>
        <stp>80</stp>
        <tr r="E83" s="1"/>
      </tp>
      <tp t="s">
        <v>-</v>
        <stp/>
        <stp>T&amp;T0</stp>
        <stp>AVD</stp>
        <stp>81</stp>
        <tr r="E84" s="1"/>
      </tp>
      <tp t="s">
        <v>-</v>
        <stp/>
        <stp>T&amp;T0</stp>
        <stp>AVD</stp>
        <stp>86</stp>
        <tr r="E89" s="1"/>
      </tp>
      <tp t="s">
        <v>-</v>
        <stp/>
        <stp>T&amp;T0</stp>
        <stp>AVD</stp>
        <stp>87</stp>
        <tr r="E90" s="1"/>
      </tp>
      <tp t="s">
        <v>-</v>
        <stp/>
        <stp>T&amp;T0</stp>
        <stp>AVD</stp>
        <stp>84</stp>
        <tr r="E87" s="1"/>
      </tp>
      <tp t="s">
        <v>-</v>
        <stp/>
        <stp>T&amp;T0</stp>
        <stp>AVD</stp>
        <stp>85</stp>
        <tr r="E88" s="1"/>
      </tp>
      <tp t="s">
        <v>-</v>
        <stp/>
        <stp>T&amp;T0</stp>
        <stp>DAT</stp>
        <stp>89</stp>
        <tr r="A92" s="1"/>
      </tp>
      <tp t="s">
        <v>-</v>
        <stp/>
        <stp>T&amp;T0</stp>
        <stp>DAT</stp>
        <stp>88</stp>
        <tr r="A91" s="1"/>
      </tp>
      <tp t="s">
        <v>-</v>
        <stp/>
        <stp>T&amp;T0</stp>
        <stp>DAT</stp>
        <stp>85</stp>
        <tr r="A88" s="1"/>
      </tp>
      <tp t="s">
        <v>-</v>
        <stp/>
        <stp>T&amp;T0</stp>
        <stp>DAT</stp>
        <stp>84</stp>
        <tr r="A87" s="1"/>
      </tp>
      <tp t="s">
        <v>-</v>
        <stp/>
        <stp>T&amp;T0</stp>
        <stp>DAT</stp>
        <stp>87</stp>
        <tr r="A90" s="1"/>
      </tp>
      <tp t="s">
        <v>-</v>
        <stp/>
        <stp>T&amp;T0</stp>
        <stp>DAT</stp>
        <stp>86</stp>
        <tr r="A89" s="1"/>
      </tp>
      <tp t="s">
        <v>-</v>
        <stp/>
        <stp>T&amp;T0</stp>
        <stp>DAT</stp>
        <stp>81</stp>
        <tr r="A84" s="1"/>
      </tp>
      <tp t="s">
        <v>-</v>
        <stp/>
        <stp>T&amp;T0</stp>
        <stp>DAT</stp>
        <stp>80</stp>
        <tr r="A83" s="1"/>
      </tp>
      <tp t="s">
        <v>-</v>
        <stp/>
        <stp>T&amp;T0</stp>
        <stp>DAT</stp>
        <stp>83</stp>
        <tr r="A86" s="1"/>
      </tp>
      <tp t="s">
        <v>-</v>
        <stp/>
        <stp>T&amp;T0</stp>
        <stp>DAT</stp>
        <stp>82</stp>
        <tr r="A85" s="1"/>
      </tp>
      <tp t="s">
        <v>-</v>
        <stp/>
        <stp>T&amp;T0</stp>
        <stp>DAT</stp>
        <stp>99</stp>
        <tr r="A102" s="1"/>
      </tp>
      <tp t="s">
        <v>-</v>
        <stp/>
        <stp>T&amp;T0</stp>
        <stp>DAT</stp>
        <stp>98</stp>
        <tr r="A101" s="1"/>
      </tp>
      <tp t="s">
        <v>-</v>
        <stp/>
        <stp>T&amp;T0</stp>
        <stp>DAT</stp>
        <stp>95</stp>
        <tr r="A98" s="1"/>
      </tp>
      <tp t="s">
        <v>-</v>
        <stp/>
        <stp>T&amp;T0</stp>
        <stp>DAT</stp>
        <stp>94</stp>
        <tr r="A97" s="1"/>
      </tp>
      <tp t="s">
        <v>-</v>
        <stp/>
        <stp>T&amp;T0</stp>
        <stp>DAT</stp>
        <stp>97</stp>
        <tr r="A100" s="1"/>
      </tp>
      <tp t="s">
        <v>-</v>
        <stp/>
        <stp>T&amp;T0</stp>
        <stp>DAT</stp>
        <stp>96</stp>
        <tr r="A99" s="1"/>
      </tp>
      <tp t="s">
        <v>-</v>
        <stp/>
        <stp>T&amp;T0</stp>
        <stp>DAT</stp>
        <stp>91</stp>
        <tr r="A94" s="1"/>
      </tp>
      <tp t="s">
        <v>-</v>
        <stp/>
        <stp>T&amp;T0</stp>
        <stp>DAT</stp>
        <stp>90</stp>
        <tr r="A93" s="1"/>
      </tp>
      <tp t="s">
        <v>-</v>
        <stp/>
        <stp>T&amp;T0</stp>
        <stp>DAT</stp>
        <stp>93</stp>
        <tr r="A96" s="1"/>
      </tp>
      <tp t="s">
        <v>-</v>
        <stp/>
        <stp>T&amp;T0</stp>
        <stp>DAT</stp>
        <stp>92</stp>
        <tr r="A95" s="1"/>
      </tp>
      <tp t="s">
        <v>-</v>
        <stp/>
        <stp>T&amp;T0</stp>
        <stp>AGR</stp>
        <stp>39</stp>
        <tr r="F42" s="1"/>
      </tp>
      <tp t="s">
        <v>-</v>
        <stp/>
        <stp>T&amp;T0</stp>
        <stp>AGR</stp>
        <stp>38</stp>
        <tr r="F41" s="1"/>
      </tp>
      <tp t="s">
        <v>-</v>
        <stp/>
        <stp>T&amp;T0</stp>
        <stp>DAT</stp>
        <stp>69</stp>
        <tr r="A72" s="1"/>
      </tp>
      <tp t="s">
        <v>-</v>
        <stp/>
        <stp>T&amp;T0</stp>
        <stp>DAT</stp>
        <stp>68</stp>
        <tr r="A71" s="1"/>
      </tp>
      <tp t="s">
        <v>-</v>
        <stp/>
        <stp>T&amp;T0</stp>
        <stp>ACP</stp>
        <stp>39</stp>
        <tr r="B42" s="1"/>
      </tp>
      <tp t="s">
        <v>-</v>
        <stp/>
        <stp>T&amp;T0</stp>
        <stp>ACP</stp>
        <stp>38</stp>
        <tr r="B41" s="1"/>
      </tp>
      <tp t="s">
        <v>-</v>
        <stp/>
        <stp>T&amp;T0</stp>
        <stp>DAT</stp>
        <stp>65</stp>
        <tr r="A68" s="1"/>
      </tp>
      <tp t="s">
        <v>-</v>
        <stp/>
        <stp>T&amp;T0</stp>
        <stp>ACP</stp>
        <stp>37</stp>
        <tr r="B40" s="1"/>
      </tp>
      <tp t="s">
        <v>-</v>
        <stp/>
        <stp>T&amp;T0</stp>
        <stp>AGR</stp>
        <stp>33</stp>
        <tr r="F36" s="1"/>
      </tp>
      <tp t="s">
        <v>-</v>
        <stp/>
        <stp>T&amp;T0</stp>
        <stp>DAT</stp>
        <stp>64</stp>
        <tr r="A67" s="1"/>
      </tp>
      <tp t="s">
        <v>-</v>
        <stp/>
        <stp>T&amp;T0</stp>
        <stp>ACP</stp>
        <stp>36</stp>
        <tr r="B39" s="1"/>
      </tp>
      <tp t="s">
        <v>-</v>
        <stp/>
        <stp>T&amp;T0</stp>
        <stp>AGR</stp>
        <stp>32</stp>
        <tr r="F35" s="1"/>
      </tp>
      <tp t="s">
        <v>-</v>
        <stp/>
        <stp>T&amp;T0</stp>
        <stp>DAT</stp>
        <stp>67</stp>
        <tr r="A70" s="1"/>
      </tp>
      <tp t="s">
        <v>-</v>
        <stp/>
        <stp>T&amp;T0</stp>
        <stp>ACP</stp>
        <stp>35</stp>
        <tr r="B38" s="1"/>
      </tp>
      <tp t="s">
        <v>-</v>
        <stp/>
        <stp>T&amp;T0</stp>
        <stp>AGR</stp>
        <stp>31</stp>
        <tr r="F34" s="1"/>
      </tp>
      <tp t="s">
        <v>-</v>
        <stp/>
        <stp>T&amp;T0</stp>
        <stp>DAT</stp>
        <stp>66</stp>
        <tr r="A69" s="1"/>
      </tp>
      <tp t="s">
        <v>-</v>
        <stp/>
        <stp>T&amp;T0</stp>
        <stp>ACP</stp>
        <stp>34</stp>
        <tr r="B37" s="1"/>
      </tp>
      <tp t="s">
        <v>-</v>
        <stp/>
        <stp>T&amp;T0</stp>
        <stp>AGR</stp>
        <stp>30</stp>
        <tr r="F33" s="1"/>
      </tp>
      <tp t="s">
        <v>-</v>
        <stp/>
        <stp>T&amp;T0</stp>
        <stp>DAT</stp>
        <stp>61</stp>
        <tr r="A64" s="1"/>
      </tp>
      <tp t="s">
        <v>-</v>
        <stp/>
        <stp>T&amp;T0</stp>
        <stp>ACP</stp>
        <stp>33</stp>
        <tr r="B36" s="1"/>
      </tp>
      <tp t="s">
        <v>-</v>
        <stp/>
        <stp>T&amp;T0</stp>
        <stp>AGR</stp>
        <stp>37</stp>
        <tr r="F40" s="1"/>
      </tp>
      <tp t="s">
        <v>-</v>
        <stp/>
        <stp>T&amp;T0</stp>
        <stp>DAT</stp>
        <stp>60</stp>
        <tr r="A63" s="1"/>
      </tp>
      <tp t="s">
        <v>-</v>
        <stp/>
        <stp>T&amp;T0</stp>
        <stp>ACP</stp>
        <stp>32</stp>
        <tr r="B35" s="1"/>
      </tp>
      <tp t="s">
        <v>-</v>
        <stp/>
        <stp>T&amp;T0</stp>
        <stp>AGR</stp>
        <stp>36</stp>
        <tr r="F39" s="1"/>
      </tp>
      <tp t="s">
        <v>-</v>
        <stp/>
        <stp>T&amp;T0</stp>
        <stp>DAT</stp>
        <stp>63</stp>
        <tr r="A66" s="1"/>
      </tp>
      <tp t="s">
        <v>-</v>
        <stp/>
        <stp>T&amp;T0</stp>
        <stp>ACP</stp>
        <stp>31</stp>
        <tr r="B34" s="1"/>
      </tp>
      <tp t="s">
        <v>-</v>
        <stp/>
        <stp>T&amp;T0</stp>
        <stp>AGR</stp>
        <stp>35</stp>
        <tr r="F38" s="1"/>
      </tp>
      <tp t="s">
        <v>-</v>
        <stp/>
        <stp>T&amp;T0</stp>
        <stp>DAT</stp>
        <stp>62</stp>
        <tr r="A65" s="1"/>
      </tp>
      <tp t="s">
        <v>-</v>
        <stp/>
        <stp>T&amp;T0</stp>
        <stp>ACP</stp>
        <stp>30</stp>
        <tr r="B33" s="1"/>
      </tp>
      <tp t="s">
        <v>-</v>
        <stp/>
        <stp>T&amp;T0</stp>
        <stp>AGR</stp>
        <stp>34</stp>
        <tr r="F37" s="1"/>
      </tp>
      <tp t="s">
        <v>-</v>
        <stp/>
        <stp>T&amp;T0</stp>
        <stp>AVD</stp>
        <stp>38</stp>
        <tr r="E41" s="1"/>
      </tp>
      <tp t="s">
        <v>-</v>
        <stp/>
        <stp>T&amp;T0</stp>
        <stp>AVD</stp>
        <stp>39</stp>
        <tr r="E42" s="1"/>
      </tp>
      <tp t="s">
        <v>-</v>
        <stp/>
        <stp>T&amp;T0</stp>
        <stp>AVD</stp>
        <stp>32</stp>
        <tr r="E35" s="1"/>
      </tp>
      <tp t="s">
        <v>-</v>
        <stp/>
        <stp>T&amp;T0</stp>
        <stp>AVD</stp>
        <stp>33</stp>
        <tr r="E36" s="1"/>
      </tp>
      <tp t="s">
        <v>-</v>
        <stp/>
        <stp>T&amp;T0</stp>
        <stp>AVD</stp>
        <stp>30</stp>
        <tr r="E33" s="1"/>
      </tp>
      <tp t="s">
        <v>-</v>
        <stp/>
        <stp>T&amp;T0</stp>
        <stp>AVD</stp>
        <stp>31</stp>
        <tr r="E34" s="1"/>
      </tp>
      <tp t="s">
        <v>-</v>
        <stp/>
        <stp>T&amp;T0</stp>
        <stp>AVD</stp>
        <stp>36</stp>
        <tr r="E39" s="1"/>
      </tp>
      <tp t="s">
        <v>-</v>
        <stp/>
        <stp>T&amp;T0</stp>
        <stp>AVD</stp>
        <stp>37</stp>
        <tr r="E40" s="1"/>
      </tp>
      <tp t="s">
        <v>-</v>
        <stp/>
        <stp>T&amp;T0</stp>
        <stp>AVD</stp>
        <stp>34</stp>
        <tr r="E37" s="1"/>
      </tp>
      <tp t="s">
        <v>-</v>
        <stp/>
        <stp>T&amp;T0</stp>
        <stp>AVD</stp>
        <stp>35</stp>
        <tr r="E38" s="1"/>
      </tp>
      <tp t="s">
        <v>-</v>
        <stp/>
        <stp>T&amp;T0</stp>
        <stp>AGR</stp>
        <stp>29</stp>
        <tr r="F32" s="1"/>
      </tp>
      <tp t="s">
        <v>-</v>
        <stp/>
        <stp>T&amp;T0</stp>
        <stp>AGR</stp>
        <stp>28</stp>
        <tr r="F31" s="1"/>
      </tp>
      <tp t="s">
        <v>-</v>
        <stp/>
        <stp>T&amp;T0</stp>
        <stp>DAT</stp>
        <stp>79</stp>
        <tr r="A82" s="1"/>
      </tp>
      <tp t="s">
        <v>-</v>
        <stp/>
        <stp>T&amp;T0</stp>
        <stp>DAT</stp>
        <stp>78</stp>
        <tr r="A81" s="1"/>
      </tp>
      <tp t="s">
        <v>-</v>
        <stp/>
        <stp>T&amp;T0</stp>
        <stp>ACP</stp>
        <stp>29</stp>
        <tr r="B32" s="1"/>
      </tp>
      <tp t="s">
        <v>-</v>
        <stp/>
        <stp>T&amp;T0</stp>
        <stp>ACP</stp>
        <stp>28</stp>
        <tr r="B31" s="1"/>
      </tp>
      <tp t="s">
        <v>-</v>
        <stp/>
        <stp>T&amp;T0</stp>
        <stp>DAT</stp>
        <stp>75</stp>
        <tr r="A78" s="1"/>
      </tp>
      <tp t="s">
        <v>-</v>
        <stp/>
        <stp>T&amp;T0</stp>
        <stp>ACP</stp>
        <stp>27</stp>
        <tr r="B30" s="1"/>
      </tp>
      <tp t="s">
        <v>-</v>
        <stp/>
        <stp>T&amp;T0</stp>
        <stp>AGR</stp>
        <stp>23</stp>
        <tr r="F26" s="1"/>
      </tp>
      <tp t="s">
        <v>-</v>
        <stp/>
        <stp>T&amp;T0</stp>
        <stp>DAT</stp>
        <stp>74</stp>
        <tr r="A77" s="1"/>
      </tp>
      <tp t="s">
        <v>-</v>
        <stp/>
        <stp>T&amp;T0</stp>
        <stp>ACP</stp>
        <stp>26</stp>
        <tr r="B29" s="1"/>
      </tp>
      <tp t="s">
        <v>-</v>
        <stp/>
        <stp>T&amp;T0</stp>
        <stp>AGR</stp>
        <stp>22</stp>
        <tr r="F25" s="1"/>
      </tp>
      <tp t="s">
        <v>-</v>
        <stp/>
        <stp>T&amp;T0</stp>
        <stp>DAT</stp>
        <stp>77</stp>
        <tr r="A80" s="1"/>
      </tp>
      <tp t="s">
        <v>-</v>
        <stp/>
        <stp>T&amp;T0</stp>
        <stp>ACP</stp>
        <stp>25</stp>
        <tr r="B28" s="1"/>
      </tp>
      <tp t="s">
        <v>-</v>
        <stp/>
        <stp>T&amp;T0</stp>
        <stp>AGR</stp>
        <stp>21</stp>
        <tr r="F24" s="1"/>
      </tp>
      <tp t="s">
        <v>-</v>
        <stp/>
        <stp>T&amp;T0</stp>
        <stp>DAT</stp>
        <stp>76</stp>
        <tr r="A79" s="1"/>
      </tp>
      <tp t="s">
        <v>-</v>
        <stp/>
        <stp>T&amp;T0</stp>
        <stp>ACP</stp>
        <stp>24</stp>
        <tr r="B27" s="1"/>
      </tp>
      <tp t="s">
        <v>-</v>
        <stp/>
        <stp>T&amp;T0</stp>
        <stp>AGR</stp>
        <stp>20</stp>
        <tr r="F23" s="1"/>
      </tp>
      <tp t="s">
        <v>-</v>
        <stp/>
        <stp>T&amp;T0</stp>
        <stp>DAT</stp>
        <stp>71</stp>
        <tr r="A74" s="1"/>
      </tp>
      <tp t="s">
        <v>-</v>
        <stp/>
        <stp>T&amp;T0</stp>
        <stp>ACP</stp>
        <stp>23</stp>
        <tr r="B26" s="1"/>
      </tp>
      <tp t="s">
        <v>-</v>
        <stp/>
        <stp>T&amp;T0</stp>
        <stp>AGR</stp>
        <stp>27</stp>
        <tr r="F30" s="1"/>
      </tp>
      <tp t="s">
        <v>-</v>
        <stp/>
        <stp>T&amp;T0</stp>
        <stp>DAT</stp>
        <stp>70</stp>
        <tr r="A73" s="1"/>
      </tp>
      <tp t="s">
        <v>-</v>
        <stp/>
        <stp>T&amp;T0</stp>
        <stp>ACP</stp>
        <stp>22</stp>
        <tr r="B25" s="1"/>
      </tp>
      <tp t="s">
        <v>-</v>
        <stp/>
        <stp>T&amp;T0</stp>
        <stp>AGR</stp>
        <stp>26</stp>
        <tr r="F29" s="1"/>
      </tp>
      <tp t="s">
        <v>-</v>
        <stp/>
        <stp>T&amp;T0</stp>
        <stp>DAT</stp>
        <stp>73</stp>
        <tr r="A76" s="1"/>
      </tp>
      <tp t="s">
        <v>-</v>
        <stp/>
        <stp>T&amp;T0</stp>
        <stp>ACP</stp>
        <stp>21</stp>
        <tr r="B24" s="1"/>
      </tp>
      <tp t="s">
        <v>-</v>
        <stp/>
        <stp>T&amp;T0</stp>
        <stp>AGR</stp>
        <stp>25</stp>
        <tr r="F28" s="1"/>
      </tp>
      <tp t="s">
        <v>-</v>
        <stp/>
        <stp>T&amp;T0</stp>
        <stp>DAT</stp>
        <stp>72</stp>
        <tr r="A75" s="1"/>
      </tp>
      <tp t="s">
        <v>-</v>
        <stp/>
        <stp>T&amp;T0</stp>
        <stp>ACP</stp>
        <stp>20</stp>
        <tr r="B23" s="1"/>
      </tp>
      <tp t="s">
        <v>-</v>
        <stp/>
        <stp>T&amp;T0</stp>
        <stp>AGR</stp>
        <stp>24</stp>
        <tr r="F27" s="1"/>
      </tp>
      <tp t="s">
        <v>-</v>
        <stp/>
        <stp>T&amp;T0</stp>
        <stp>AVD</stp>
        <stp>28</stp>
        <tr r="E31" s="1"/>
      </tp>
      <tp t="s">
        <v>-</v>
        <stp/>
        <stp>T&amp;T0</stp>
        <stp>AVD</stp>
        <stp>29</stp>
        <tr r="E32" s="1"/>
      </tp>
      <tp t="s">
        <v>-</v>
        <stp/>
        <stp>T&amp;T0</stp>
        <stp>AVD</stp>
        <stp>22</stp>
        <tr r="E25" s="1"/>
      </tp>
      <tp t="s">
        <v>-</v>
        <stp/>
        <stp>T&amp;T0</stp>
        <stp>AVD</stp>
        <stp>23</stp>
        <tr r="E26" s="1"/>
      </tp>
      <tp t="s">
        <v>-</v>
        <stp/>
        <stp>T&amp;T0</stp>
        <stp>AVD</stp>
        <stp>20</stp>
        <tr r="E23" s="1"/>
      </tp>
      <tp t="s">
        <v>-</v>
        <stp/>
        <stp>T&amp;T0</stp>
        <stp>AVD</stp>
        <stp>21</stp>
        <tr r="E24" s="1"/>
      </tp>
      <tp t="s">
        <v>-</v>
        <stp/>
        <stp>T&amp;T0</stp>
        <stp>AVD</stp>
        <stp>26</stp>
        <tr r="E29" s="1"/>
      </tp>
      <tp t="s">
        <v>-</v>
        <stp/>
        <stp>T&amp;T0</stp>
        <stp>AVD</stp>
        <stp>27</stp>
        <tr r="E30" s="1"/>
      </tp>
      <tp t="s">
        <v>-</v>
        <stp/>
        <stp>T&amp;T0</stp>
        <stp>AVD</stp>
        <stp>24</stp>
        <tr r="E27" s="1"/>
      </tp>
      <tp t="s">
        <v>-</v>
        <stp/>
        <stp>T&amp;T0</stp>
        <stp>AVD</stp>
        <stp>25</stp>
        <tr r="E28" s="1"/>
      </tp>
      <tp t="s">
        <v>-</v>
        <stp/>
        <stp>T&amp;T0</stp>
        <stp>AGR</stp>
        <stp>19</stp>
        <tr r="F22" s="1"/>
      </tp>
      <tp t="s">
        <v>-</v>
        <stp/>
        <stp>T&amp;T0</stp>
        <stp>AGR</stp>
        <stp>18</stp>
        <tr r="F21" s="1"/>
      </tp>
      <tp t="s">
        <v>-</v>
        <stp/>
        <stp>T&amp;T0</stp>
        <stp>DAT</stp>
        <stp>49</stp>
        <tr r="A52" s="1"/>
      </tp>
      <tp t="s">
        <v>-</v>
        <stp/>
        <stp>T&amp;T0</stp>
        <stp>DAT</stp>
        <stp>48</stp>
        <tr r="A51" s="1"/>
      </tp>
      <tp t="s">
        <v>-</v>
        <stp/>
        <stp>T&amp;T0</stp>
        <stp>ACP</stp>
        <stp>19</stp>
        <tr r="B22" s="1"/>
      </tp>
      <tp t="s">
        <v>-</v>
        <stp/>
        <stp>T&amp;T0</stp>
        <stp>ACP</stp>
        <stp>18</stp>
        <tr r="B21" s="1"/>
      </tp>
      <tp t="s">
        <v>-</v>
        <stp/>
        <stp>T&amp;T0</stp>
        <stp>DAT</stp>
        <stp>45</stp>
        <tr r="A48" s="1"/>
      </tp>
      <tp t="s">
        <v>-</v>
        <stp/>
        <stp>T&amp;T0</stp>
        <stp>ACP</stp>
        <stp>17</stp>
        <tr r="B20" s="1"/>
      </tp>
      <tp t="s">
        <v>-</v>
        <stp/>
        <stp>T&amp;T0</stp>
        <stp>AGR</stp>
        <stp>13</stp>
        <tr r="F16" s="1"/>
      </tp>
      <tp t="s">
        <v>-</v>
        <stp/>
        <stp>T&amp;T0</stp>
        <stp>DAT</stp>
        <stp>44</stp>
        <tr r="A47" s="1"/>
      </tp>
      <tp t="s">
        <v>-</v>
        <stp/>
        <stp>T&amp;T0</stp>
        <stp>ACP</stp>
        <stp>16</stp>
        <tr r="B19" s="1"/>
      </tp>
      <tp t="s">
        <v>-</v>
        <stp/>
        <stp>T&amp;T0</stp>
        <stp>AGR</stp>
        <stp>12</stp>
        <tr r="F15" s="1"/>
      </tp>
      <tp t="s">
        <v>-</v>
        <stp/>
        <stp>T&amp;T0</stp>
        <stp>DAT</stp>
        <stp>47</stp>
        <tr r="A50" s="1"/>
      </tp>
      <tp t="s">
        <v>-</v>
        <stp/>
        <stp>T&amp;T0</stp>
        <stp>ACP</stp>
        <stp>15</stp>
        <tr r="B18" s="1"/>
      </tp>
      <tp t="s">
        <v>-</v>
        <stp/>
        <stp>T&amp;T0</stp>
        <stp>AGR</stp>
        <stp>11</stp>
        <tr r="F14" s="1"/>
      </tp>
      <tp t="s">
        <v>-</v>
        <stp/>
        <stp>T&amp;T0</stp>
        <stp>DAT</stp>
        <stp>46</stp>
        <tr r="A49" s="1"/>
      </tp>
      <tp t="s">
        <v>-</v>
        <stp/>
        <stp>T&amp;T0</stp>
        <stp>ACP</stp>
        <stp>14</stp>
        <tr r="B17" s="1"/>
      </tp>
      <tp t="s">
        <v>-</v>
        <stp/>
        <stp>T&amp;T0</stp>
        <stp>AGR</stp>
        <stp>10</stp>
        <tr r="F13" s="1"/>
      </tp>
      <tp t="s">
        <v>-</v>
        <stp/>
        <stp>T&amp;T0</stp>
        <stp>DAT</stp>
        <stp>41</stp>
        <tr r="A44" s="1"/>
      </tp>
      <tp t="s">
        <v>-</v>
        <stp/>
        <stp>T&amp;T0</stp>
        <stp>ACP</stp>
        <stp>13</stp>
        <tr r="B16" s="1"/>
      </tp>
      <tp t="s">
        <v>-</v>
        <stp/>
        <stp>T&amp;T0</stp>
        <stp>AGR</stp>
        <stp>17</stp>
        <tr r="F20" s="1"/>
      </tp>
      <tp t="s">
        <v>-</v>
        <stp/>
        <stp>T&amp;T0</stp>
        <stp>DAT</stp>
        <stp>40</stp>
        <tr r="A43" s="1"/>
      </tp>
      <tp t="s">
        <v>-</v>
        <stp/>
        <stp>T&amp;T0</stp>
        <stp>ACP</stp>
        <stp>12</stp>
        <tr r="B15" s="1"/>
      </tp>
      <tp t="s">
        <v>-</v>
        <stp/>
        <stp>T&amp;T0</stp>
        <stp>AGR</stp>
        <stp>16</stp>
        <tr r="F19" s="1"/>
      </tp>
      <tp t="s">
        <v>-</v>
        <stp/>
        <stp>T&amp;T0</stp>
        <stp>DAT</stp>
        <stp>43</stp>
        <tr r="A46" s="1"/>
      </tp>
      <tp t="s">
        <v>-</v>
        <stp/>
        <stp>T&amp;T0</stp>
        <stp>ACP</stp>
        <stp>11</stp>
        <tr r="B14" s="1"/>
      </tp>
      <tp t="s">
        <v>-</v>
        <stp/>
        <stp>T&amp;T0</stp>
        <stp>AGR</stp>
        <stp>15</stp>
        <tr r="F18" s="1"/>
      </tp>
      <tp t="s">
        <v>-</v>
        <stp/>
        <stp>T&amp;T0</stp>
        <stp>DAT</stp>
        <stp>42</stp>
        <tr r="A45" s="1"/>
      </tp>
      <tp t="s">
        <v>-</v>
        <stp/>
        <stp>T&amp;T0</stp>
        <stp>ACP</stp>
        <stp>10</stp>
        <tr r="B13" s="1"/>
      </tp>
      <tp t="s">
        <v>-</v>
        <stp/>
        <stp>T&amp;T0</stp>
        <stp>AGR</stp>
        <stp>14</stp>
        <tr r="F17" s="1"/>
      </tp>
      <tp t="s">
        <v>-</v>
        <stp/>
        <stp>T&amp;T0</stp>
        <stp>AVD</stp>
        <stp>18</stp>
        <tr r="E21" s="1"/>
      </tp>
      <tp t="s">
        <v>-</v>
        <stp/>
        <stp>T&amp;T0</stp>
        <stp>AVD</stp>
        <stp>19</stp>
        <tr r="E22" s="1"/>
      </tp>
      <tp t="s">
        <v>-</v>
        <stp/>
        <stp>T&amp;T0</stp>
        <stp>AVD</stp>
        <stp>12</stp>
        <tr r="E15" s="1"/>
      </tp>
      <tp t="s">
        <v>-</v>
        <stp/>
        <stp>T&amp;T0</stp>
        <stp>AVD</stp>
        <stp>13</stp>
        <tr r="E16" s="1"/>
      </tp>
      <tp t="s">
        <v>-</v>
        <stp/>
        <stp>T&amp;T0</stp>
        <stp>AVD</stp>
        <stp>10</stp>
        <tr r="E13" s="1"/>
      </tp>
      <tp t="s">
        <v>-</v>
        <stp/>
        <stp>T&amp;T0</stp>
        <stp>AVD</stp>
        <stp>11</stp>
        <tr r="E14" s="1"/>
      </tp>
      <tp t="s">
        <v>-</v>
        <stp/>
        <stp>T&amp;T0</stp>
        <stp>AVD</stp>
        <stp>16</stp>
        <tr r="E19" s="1"/>
      </tp>
      <tp t="s">
        <v>-</v>
        <stp/>
        <stp>T&amp;T0</stp>
        <stp>AVD</stp>
        <stp>17</stp>
        <tr r="E20" s="1"/>
      </tp>
      <tp t="s">
        <v>-</v>
        <stp/>
        <stp>T&amp;T0</stp>
        <stp>AVD</stp>
        <stp>14</stp>
        <tr r="E17" s="1"/>
      </tp>
      <tp t="s">
        <v>-</v>
        <stp/>
        <stp>T&amp;T0</stp>
        <stp>AVD</stp>
        <stp>15</stp>
        <tr r="E18" s="1"/>
      </tp>
      <tp t="s">
        <v>-</v>
        <stp/>
        <stp>T&amp;T0</stp>
        <stp>DAT</stp>
        <stp>59</stp>
        <tr r="A62" s="1"/>
      </tp>
      <tp t="s">
        <v>-</v>
        <stp/>
        <stp>T&amp;T0</stp>
        <stp>DAT</stp>
        <stp>58</stp>
        <tr r="A61" s="1"/>
      </tp>
      <tp t="s">
        <v>-</v>
        <stp/>
        <stp>T&amp;T0</stp>
        <stp>DAT</stp>
        <stp>55</stp>
        <tr r="A58" s="1"/>
      </tp>
      <tp t="s">
        <v>-</v>
        <stp/>
        <stp>T&amp;T0</stp>
        <stp>DAT</stp>
        <stp>54</stp>
        <tr r="A57" s="1"/>
      </tp>
      <tp t="s">
        <v>-</v>
        <stp/>
        <stp>T&amp;T0</stp>
        <stp>DAT</stp>
        <stp>57</stp>
        <tr r="A60" s="1"/>
      </tp>
      <tp t="s">
        <v>-</v>
        <stp/>
        <stp>T&amp;T0</stp>
        <stp>DAT</stp>
        <stp>56</stp>
        <tr r="A59" s="1"/>
      </tp>
      <tp t="s">
        <v>-</v>
        <stp/>
        <stp>T&amp;T0</stp>
        <stp>DAT</stp>
        <stp>51</stp>
        <tr r="A54" s="1"/>
      </tp>
      <tp t="s">
        <v>-</v>
        <stp/>
        <stp>T&amp;T0</stp>
        <stp>DAT</stp>
        <stp>50</stp>
        <tr r="A53" s="1"/>
      </tp>
      <tp t="s">
        <v>-</v>
        <stp/>
        <stp>T&amp;T0</stp>
        <stp>DAT</stp>
        <stp>53</stp>
        <tr r="A56" s="1"/>
      </tp>
      <tp t="s">
        <v>-</v>
        <stp/>
        <stp>T&amp;T0</stp>
        <stp>DAT</stp>
        <stp>52</stp>
        <tr r="A55" s="1"/>
      </tp>
      <tp t="s">
        <v>-</v>
        <stp/>
        <stp>T&amp;T0</stp>
        <stp>AGR</stp>
        <stp>79</stp>
        <tr r="F82" s="1"/>
      </tp>
      <tp t="s">
        <v>-</v>
        <stp/>
        <stp>T&amp;T0</stp>
        <stp>AGR</stp>
        <stp>78</stp>
        <tr r="F81" s="1"/>
      </tp>
      <tp t="s">
        <v>-</v>
        <stp/>
        <stp>T&amp;T0</stp>
        <stp>DAT</stp>
        <stp>29</stp>
        <tr r="A32" s="1"/>
      </tp>
      <tp t="s">
        <v>-</v>
        <stp/>
        <stp>T&amp;T0</stp>
        <stp>DAT</stp>
        <stp>28</stp>
        <tr r="A31" s="1"/>
      </tp>
      <tp t="s">
        <v>-</v>
        <stp/>
        <stp>T&amp;T0</stp>
        <stp>ACP</stp>
        <stp>79</stp>
        <tr r="B82" s="1"/>
      </tp>
      <tp t="s">
        <v>-</v>
        <stp/>
        <stp>T&amp;T0</stp>
        <stp>ACP</stp>
        <stp>78</stp>
        <tr r="B81" s="1"/>
      </tp>
      <tp t="s">
        <v>-</v>
        <stp/>
        <stp>T&amp;T0</stp>
        <stp>DAT</stp>
        <stp>25</stp>
        <tr r="A28" s="1"/>
      </tp>
      <tp t="s">
        <v>-</v>
        <stp/>
        <stp>T&amp;T0</stp>
        <stp>ACP</stp>
        <stp>77</stp>
        <tr r="B80" s="1"/>
      </tp>
      <tp t="s">
        <v>-</v>
        <stp/>
        <stp>T&amp;T0</stp>
        <stp>AGR</stp>
        <stp>73</stp>
        <tr r="F76" s="1"/>
      </tp>
      <tp t="s">
        <v>-</v>
        <stp/>
        <stp>T&amp;T0</stp>
        <stp>DAT</stp>
        <stp>24</stp>
        <tr r="A27" s="1"/>
      </tp>
      <tp t="s">
        <v>-</v>
        <stp/>
        <stp>T&amp;T0</stp>
        <stp>ACP</stp>
        <stp>76</stp>
        <tr r="B79" s="1"/>
      </tp>
      <tp t="s">
        <v>-</v>
        <stp/>
        <stp>T&amp;T0</stp>
        <stp>AGR</stp>
        <stp>72</stp>
        <tr r="F75" s="1"/>
      </tp>
      <tp t="s">
        <v>-</v>
        <stp/>
        <stp>T&amp;T0</stp>
        <stp>DAT</stp>
        <stp>27</stp>
        <tr r="A30" s="1"/>
      </tp>
      <tp t="s">
        <v>-</v>
        <stp/>
        <stp>T&amp;T0</stp>
        <stp>ACP</stp>
        <stp>75</stp>
        <tr r="B78" s="1"/>
      </tp>
      <tp t="s">
        <v>-</v>
        <stp/>
        <stp>T&amp;T0</stp>
        <stp>AGR</stp>
        <stp>71</stp>
        <tr r="F74" s="1"/>
      </tp>
      <tp t="s">
        <v>-</v>
        <stp/>
        <stp>T&amp;T0</stp>
        <stp>DAT</stp>
        <stp>26</stp>
        <tr r="A29" s="1"/>
      </tp>
      <tp t="s">
        <v>-</v>
        <stp/>
        <stp>T&amp;T0</stp>
        <stp>ACP</stp>
        <stp>74</stp>
        <tr r="B77" s="1"/>
      </tp>
      <tp t="s">
        <v>-</v>
        <stp/>
        <stp>T&amp;T0</stp>
        <stp>AGR</stp>
        <stp>70</stp>
        <tr r="F73" s="1"/>
      </tp>
      <tp t="s">
        <v>-</v>
        <stp/>
        <stp>T&amp;T0</stp>
        <stp>DAT</stp>
        <stp>21</stp>
        <tr r="A24" s="1"/>
      </tp>
      <tp t="s">
        <v>-</v>
        <stp/>
        <stp>T&amp;T0</stp>
        <stp>ACP</stp>
        <stp>73</stp>
        <tr r="B76" s="1"/>
      </tp>
      <tp t="s">
        <v>-</v>
        <stp/>
        <stp>T&amp;T0</stp>
        <stp>AGR</stp>
        <stp>77</stp>
        <tr r="F80" s="1"/>
      </tp>
      <tp t="s">
        <v>-</v>
        <stp/>
        <stp>T&amp;T0</stp>
        <stp>DAT</stp>
        <stp>20</stp>
        <tr r="A23" s="1"/>
      </tp>
      <tp t="s">
        <v>-</v>
        <stp/>
        <stp>T&amp;T0</stp>
        <stp>ACP</stp>
        <stp>72</stp>
        <tr r="B75" s="1"/>
      </tp>
      <tp t="s">
        <v>-</v>
        <stp/>
        <stp>T&amp;T0</stp>
        <stp>AGR</stp>
        <stp>76</stp>
        <tr r="F79" s="1"/>
      </tp>
      <tp t="s">
        <v>-</v>
        <stp/>
        <stp>T&amp;T0</stp>
        <stp>DAT</stp>
        <stp>23</stp>
        <tr r="A26" s="1"/>
      </tp>
      <tp t="s">
        <v>-</v>
        <stp/>
        <stp>T&amp;T0</stp>
        <stp>ACP</stp>
        <stp>71</stp>
        <tr r="B74" s="1"/>
      </tp>
      <tp t="s">
        <v>-</v>
        <stp/>
        <stp>T&amp;T0</stp>
        <stp>AGR</stp>
        <stp>75</stp>
        <tr r="F78" s="1"/>
      </tp>
      <tp t="s">
        <v>-</v>
        <stp/>
        <stp>T&amp;T0</stp>
        <stp>DAT</stp>
        <stp>22</stp>
        <tr r="A25" s="1"/>
      </tp>
      <tp t="s">
        <v>-</v>
        <stp/>
        <stp>T&amp;T0</stp>
        <stp>ACP</stp>
        <stp>70</stp>
        <tr r="B73" s="1"/>
      </tp>
      <tp t="s">
        <v>-</v>
        <stp/>
        <stp>T&amp;T0</stp>
        <stp>AGR</stp>
        <stp>74</stp>
        <tr r="F77" s="1"/>
      </tp>
      <tp t="s">
        <v>-</v>
        <stp/>
        <stp>T&amp;T0</stp>
        <stp>AVD</stp>
        <stp>78</stp>
        <tr r="E81" s="1"/>
      </tp>
      <tp t="s">
        <v>-</v>
        <stp/>
        <stp>T&amp;T0</stp>
        <stp>AVD</stp>
        <stp>79</stp>
        <tr r="E82" s="1"/>
      </tp>
      <tp t="s">
        <v>-</v>
        <stp/>
        <stp>T&amp;T0</stp>
        <stp>AVD</stp>
        <stp>72</stp>
        <tr r="E75" s="1"/>
      </tp>
      <tp t="s">
        <v>-</v>
        <stp/>
        <stp>T&amp;T0</stp>
        <stp>AVD</stp>
        <stp>73</stp>
        <tr r="E76" s="1"/>
      </tp>
      <tp t="s">
        <v>-</v>
        <stp/>
        <stp>T&amp;T0</stp>
        <stp>AVD</stp>
        <stp>70</stp>
        <tr r="E73" s="1"/>
      </tp>
      <tp t="s">
        <v>-</v>
        <stp/>
        <stp>T&amp;T0</stp>
        <stp>AVD</stp>
        <stp>71</stp>
        <tr r="E74" s="1"/>
      </tp>
      <tp t="s">
        <v>-</v>
        <stp/>
        <stp>T&amp;T0</stp>
        <stp>AVD</stp>
        <stp>76</stp>
        <tr r="E79" s="1"/>
      </tp>
      <tp t="s">
        <v>-</v>
        <stp/>
        <stp>T&amp;T0</stp>
        <stp>AVD</stp>
        <stp>77</stp>
        <tr r="E80" s="1"/>
      </tp>
      <tp t="s">
        <v>-</v>
        <stp/>
        <stp>T&amp;T0</stp>
        <stp>AVD</stp>
        <stp>74</stp>
        <tr r="E77" s="1"/>
      </tp>
      <tp t="s">
        <v>-</v>
        <stp/>
        <stp>T&amp;T0</stp>
        <stp>AVD</stp>
        <stp>75</stp>
        <tr r="E78" s="1"/>
      </tp>
      <tp t="s">
        <v>-</v>
        <stp/>
        <stp>T&amp;T0</stp>
        <stp>AGR</stp>
        <stp>69</stp>
        <tr r="F72" s="1"/>
      </tp>
      <tp t="s">
        <v>-</v>
        <stp/>
        <stp>T&amp;T0</stp>
        <stp>AGR</stp>
        <stp>68</stp>
        <tr r="F71" s="1"/>
      </tp>
      <tp t="s">
        <v>-</v>
        <stp/>
        <stp>T&amp;T0</stp>
        <stp>DAT</stp>
        <stp>39</stp>
        <tr r="A42" s="1"/>
      </tp>
      <tp t="s">
        <v>-</v>
        <stp/>
        <stp>T&amp;T0</stp>
        <stp>DAT</stp>
        <stp>38</stp>
        <tr r="A41" s="1"/>
      </tp>
      <tp t="s">
        <v>-</v>
        <stp/>
        <stp>T&amp;T0</stp>
        <stp>ACP</stp>
        <stp>69</stp>
        <tr r="B72" s="1"/>
      </tp>
      <tp t="s">
        <v>-</v>
        <stp/>
        <stp>T&amp;T0</stp>
        <stp>ACP</stp>
        <stp>68</stp>
        <tr r="B71" s="1"/>
      </tp>
      <tp t="s">
        <v>-</v>
        <stp/>
        <stp>T&amp;T0</stp>
        <stp>DAT</stp>
        <stp>35</stp>
        <tr r="A38" s="1"/>
      </tp>
      <tp t="s">
        <v>-</v>
        <stp/>
        <stp>T&amp;T0</stp>
        <stp>ACP</stp>
        <stp>67</stp>
        <tr r="B70" s="1"/>
      </tp>
      <tp t="s">
        <v>-</v>
        <stp/>
        <stp>T&amp;T0</stp>
        <stp>AGR</stp>
        <stp>63</stp>
        <tr r="F66" s="1"/>
      </tp>
      <tp t="s">
        <v>-</v>
        <stp/>
        <stp>T&amp;T0</stp>
        <stp>DAT</stp>
        <stp>34</stp>
        <tr r="A37" s="1"/>
      </tp>
      <tp t="s">
        <v>-</v>
        <stp/>
        <stp>T&amp;T0</stp>
        <stp>ACP</stp>
        <stp>66</stp>
        <tr r="B69" s="1"/>
      </tp>
      <tp t="s">
        <v>-</v>
        <stp/>
        <stp>T&amp;T0</stp>
        <stp>AGR</stp>
        <stp>62</stp>
        <tr r="F65" s="1"/>
      </tp>
      <tp t="s">
        <v>-</v>
        <stp/>
        <stp>T&amp;T0</stp>
        <stp>DAT</stp>
        <stp>37</stp>
        <tr r="A40" s="1"/>
      </tp>
      <tp t="s">
        <v>-</v>
        <stp/>
        <stp>T&amp;T0</stp>
        <stp>ACP</stp>
        <stp>65</stp>
        <tr r="B68" s="1"/>
      </tp>
      <tp t="s">
        <v>-</v>
        <stp/>
        <stp>T&amp;T0</stp>
        <stp>AGR</stp>
        <stp>61</stp>
        <tr r="F64" s="1"/>
      </tp>
      <tp t="s">
        <v>-</v>
        <stp/>
        <stp>T&amp;T0</stp>
        <stp>DAT</stp>
        <stp>36</stp>
        <tr r="A39" s="1"/>
      </tp>
      <tp t="s">
        <v>-</v>
        <stp/>
        <stp>T&amp;T0</stp>
        <stp>ACP</stp>
        <stp>64</stp>
        <tr r="B67" s="1"/>
      </tp>
      <tp t="s">
        <v>-</v>
        <stp/>
        <stp>T&amp;T0</stp>
        <stp>AGR</stp>
        <stp>60</stp>
        <tr r="F63" s="1"/>
      </tp>
      <tp t="s">
        <v>-</v>
        <stp/>
        <stp>T&amp;T0</stp>
        <stp>DAT</stp>
        <stp>31</stp>
        <tr r="A34" s="1"/>
      </tp>
      <tp t="s">
        <v>-</v>
        <stp/>
        <stp>T&amp;T0</stp>
        <stp>ACP</stp>
        <stp>63</stp>
        <tr r="B66" s="1"/>
      </tp>
      <tp t="s">
        <v>-</v>
        <stp/>
        <stp>T&amp;T0</stp>
        <stp>AGR</stp>
        <stp>67</stp>
        <tr r="F70" s="1"/>
      </tp>
      <tp t="s">
        <v>-</v>
        <stp/>
        <stp>T&amp;T0</stp>
        <stp>DAT</stp>
        <stp>30</stp>
        <tr r="A33" s="1"/>
      </tp>
      <tp t="s">
        <v>-</v>
        <stp/>
        <stp>T&amp;T0</stp>
        <stp>ACP</stp>
        <stp>62</stp>
        <tr r="B65" s="1"/>
      </tp>
      <tp t="s">
        <v>-</v>
        <stp/>
        <stp>T&amp;T0</stp>
        <stp>AGR</stp>
        <stp>66</stp>
        <tr r="F69" s="1"/>
      </tp>
      <tp t="s">
        <v>-</v>
        <stp/>
        <stp>T&amp;T0</stp>
        <stp>DAT</stp>
        <stp>33</stp>
        <tr r="A36" s="1"/>
      </tp>
      <tp t="s">
        <v>-</v>
        <stp/>
        <stp>T&amp;T0</stp>
        <stp>ACP</stp>
        <stp>61</stp>
        <tr r="B64" s="1"/>
      </tp>
      <tp t="s">
        <v>-</v>
        <stp/>
        <stp>T&amp;T0</stp>
        <stp>AGR</stp>
        <stp>65</stp>
        <tr r="F68" s="1"/>
      </tp>
      <tp t="s">
        <v>-</v>
        <stp/>
        <stp>T&amp;T0</stp>
        <stp>DAT</stp>
        <stp>32</stp>
        <tr r="A35" s="1"/>
      </tp>
      <tp t="s">
        <v>-</v>
        <stp/>
        <stp>T&amp;T0</stp>
        <stp>ACP</stp>
        <stp>60</stp>
        <tr r="B63" s="1"/>
      </tp>
      <tp t="s">
        <v>-</v>
        <stp/>
        <stp>T&amp;T0</stp>
        <stp>AGR</stp>
        <stp>64</stp>
        <tr r="F67" s="1"/>
      </tp>
      <tp t="s">
        <v>-</v>
        <stp/>
        <stp>T&amp;T0</stp>
        <stp>AVD</stp>
        <stp>68</stp>
        <tr r="E71" s="1"/>
      </tp>
      <tp t="s">
        <v>-</v>
        <stp/>
        <stp>T&amp;T0</stp>
        <stp>AVD</stp>
        <stp>69</stp>
        <tr r="E72" s="1"/>
      </tp>
      <tp t="s">
        <v>-</v>
        <stp/>
        <stp>T&amp;T0</stp>
        <stp>AVD</stp>
        <stp>62</stp>
        <tr r="E65" s="1"/>
      </tp>
      <tp t="s">
        <v>-</v>
        <stp/>
        <stp>T&amp;T0</stp>
        <stp>AVD</stp>
        <stp>63</stp>
        <tr r="E66" s="1"/>
      </tp>
      <tp t="s">
        <v>-</v>
        <stp/>
        <stp>T&amp;T0</stp>
        <stp>AVD</stp>
        <stp>60</stp>
        <tr r="E63" s="1"/>
      </tp>
      <tp t="s">
        <v>-</v>
        <stp/>
        <stp>T&amp;T0</stp>
        <stp>AVD</stp>
        <stp>61</stp>
        <tr r="E64" s="1"/>
      </tp>
      <tp t="s">
        <v>-</v>
        <stp/>
        <stp>T&amp;T0</stp>
        <stp>AVD</stp>
        <stp>66</stp>
        <tr r="E69" s="1"/>
      </tp>
      <tp t="s">
        <v>-</v>
        <stp/>
        <stp>T&amp;T0</stp>
        <stp>AVD</stp>
        <stp>67</stp>
        <tr r="E70" s="1"/>
      </tp>
      <tp t="s">
        <v>-</v>
        <stp/>
        <stp>T&amp;T0</stp>
        <stp>AVD</stp>
        <stp>64</stp>
        <tr r="E67" s="1"/>
      </tp>
      <tp t="s">
        <v>-</v>
        <stp/>
        <stp>T&amp;T0</stp>
        <stp>AVD</stp>
        <stp>65</stp>
        <tr r="E68" s="1"/>
      </tp>
      <tp t="s">
        <v>-</v>
        <stp/>
        <stp>T&amp;T0</stp>
        <stp>AGR</stp>
        <stp>59</stp>
        <tr r="F62" s="1"/>
      </tp>
      <tp t="s">
        <v>-</v>
        <stp/>
        <stp>T&amp;T0</stp>
        <stp>AGR</stp>
        <stp>58</stp>
        <tr r="F61" s="1"/>
      </tp>
      <tp t="s">
        <v>-</v>
        <stp/>
        <stp>T&amp;T0</stp>
        <stp>ACP</stp>
        <stp>59</stp>
        <tr r="B62" s="1"/>
      </tp>
      <tp t="s">
        <v>-</v>
        <stp/>
        <stp>T&amp;T0</stp>
        <stp>ACP</stp>
        <stp>58</stp>
        <tr r="B61" s="1"/>
      </tp>
      <tp t="s">
        <v>-</v>
        <stp/>
        <stp>T&amp;T0</stp>
        <stp>ACP</stp>
        <stp>57</stp>
        <tr r="B60" s="1"/>
      </tp>
      <tp t="s">
        <v>-</v>
        <stp/>
        <stp>T&amp;T0</stp>
        <stp>AGR</stp>
        <stp>53</stp>
        <tr r="F56" s="1"/>
      </tp>
      <tp t="s">
        <v>-</v>
        <stp/>
        <stp>T&amp;T0</stp>
        <stp>ACP</stp>
        <stp>56</stp>
        <tr r="B59" s="1"/>
      </tp>
      <tp t="s">
        <v>-</v>
        <stp/>
        <stp>T&amp;T0</stp>
        <stp>AGR</stp>
        <stp>52</stp>
        <tr r="F55" s="1"/>
      </tp>
      <tp t="s">
        <v>-</v>
        <stp/>
        <stp>T&amp;T0</stp>
        <stp>ACP</stp>
        <stp>55</stp>
        <tr r="B58" s="1"/>
      </tp>
      <tp t="s">
        <v>-</v>
        <stp/>
        <stp>T&amp;T0</stp>
        <stp>AGR</stp>
        <stp>51</stp>
        <tr r="F54" s="1"/>
      </tp>
      <tp t="s">
        <v>-</v>
        <stp/>
        <stp>T&amp;T0</stp>
        <stp>ACP</stp>
        <stp>54</stp>
        <tr r="B57" s="1"/>
      </tp>
      <tp t="s">
        <v>-</v>
        <stp/>
        <stp>T&amp;T0</stp>
        <stp>AGR</stp>
        <stp>50</stp>
        <tr r="F53" s="1"/>
      </tp>
      <tp t="s">
        <v>-</v>
        <stp/>
        <stp>T&amp;T0</stp>
        <stp>ACP</stp>
        <stp>53</stp>
        <tr r="B56" s="1"/>
      </tp>
      <tp t="s">
        <v>-</v>
        <stp/>
        <stp>T&amp;T0</stp>
        <stp>AGR</stp>
        <stp>57</stp>
        <tr r="F60" s="1"/>
      </tp>
      <tp t="s">
        <v>-</v>
        <stp/>
        <stp>T&amp;T0</stp>
        <stp>ACP</stp>
        <stp>52</stp>
        <tr r="B55" s="1"/>
      </tp>
      <tp t="s">
        <v>-</v>
        <stp/>
        <stp>T&amp;T0</stp>
        <stp>AGR</stp>
        <stp>56</stp>
        <tr r="F59" s="1"/>
      </tp>
      <tp t="s">
        <v>-</v>
        <stp/>
        <stp>T&amp;T0</stp>
        <stp>ACP</stp>
        <stp>51</stp>
        <tr r="B54" s="1"/>
      </tp>
      <tp t="s">
        <v>-</v>
        <stp/>
        <stp>T&amp;T0</stp>
        <stp>AGR</stp>
        <stp>55</stp>
        <tr r="F58" s="1"/>
      </tp>
      <tp t="s">
        <v>-</v>
        <stp/>
        <stp>T&amp;T0</stp>
        <stp>ACP</stp>
        <stp>50</stp>
        <tr r="B53" s="1"/>
      </tp>
      <tp t="s">
        <v>-</v>
        <stp/>
        <stp>T&amp;T0</stp>
        <stp>AGR</stp>
        <stp>54</stp>
        <tr r="F57" s="1"/>
      </tp>
      <tp t="s">
        <v>-</v>
        <stp/>
        <stp>T&amp;T0</stp>
        <stp>AVD</stp>
        <stp>58</stp>
        <tr r="E61" s="1"/>
      </tp>
      <tp t="s">
        <v>-</v>
        <stp/>
        <stp>T&amp;T0</stp>
        <stp>AVD</stp>
        <stp>59</stp>
        <tr r="E62" s="1"/>
      </tp>
      <tp t="s">
        <v>-</v>
        <stp/>
        <stp>T&amp;T0</stp>
        <stp>AVD</stp>
        <stp>52</stp>
        <tr r="E55" s="1"/>
      </tp>
      <tp t="s">
        <v>-</v>
        <stp/>
        <stp>T&amp;T0</stp>
        <stp>AVD</stp>
        <stp>53</stp>
        <tr r="E56" s="1"/>
      </tp>
      <tp t="s">
        <v>-</v>
        <stp/>
        <stp>T&amp;T0</stp>
        <stp>AVD</stp>
        <stp>50</stp>
        <tr r="E53" s="1"/>
      </tp>
      <tp t="s">
        <v>-</v>
        <stp/>
        <stp>T&amp;T0</stp>
        <stp>AVD</stp>
        <stp>51</stp>
        <tr r="E54" s="1"/>
      </tp>
      <tp t="s">
        <v>-</v>
        <stp/>
        <stp>T&amp;T0</stp>
        <stp>AVD</stp>
        <stp>56</stp>
        <tr r="E59" s="1"/>
      </tp>
      <tp t="s">
        <v>-</v>
        <stp/>
        <stp>T&amp;T0</stp>
        <stp>AVD</stp>
        <stp>57</stp>
        <tr r="E60" s="1"/>
      </tp>
      <tp t="s">
        <v>-</v>
        <stp/>
        <stp>T&amp;T0</stp>
        <stp>AVD</stp>
        <stp>54</stp>
        <tr r="E57" s="1"/>
      </tp>
      <tp t="s">
        <v>-</v>
        <stp/>
        <stp>T&amp;T0</stp>
        <stp>AVD</stp>
        <stp>55</stp>
        <tr r="E58" s="1"/>
      </tp>
      <tp t="s">
        <v>-</v>
        <stp/>
        <stp>T&amp;T0</stp>
        <stp>AGR</stp>
        <stp>49</stp>
        <tr r="F52" s="1"/>
      </tp>
      <tp t="s">
        <v>-</v>
        <stp/>
        <stp>T&amp;T0</stp>
        <stp>AGR</stp>
        <stp>48</stp>
        <tr r="F51" s="1"/>
      </tp>
      <tp t="s">
        <v>-</v>
        <stp/>
        <stp>T&amp;T0</stp>
        <stp>DAT</stp>
        <stp>19</stp>
        <tr r="A22" s="1"/>
      </tp>
      <tp t="s">
        <v>-</v>
        <stp/>
        <stp>T&amp;T0</stp>
        <stp>DAT</stp>
        <stp>18</stp>
        <tr r="A21" s="1"/>
      </tp>
      <tp t="s">
        <v>-</v>
        <stp/>
        <stp>T&amp;T0</stp>
        <stp>ACP</stp>
        <stp>49</stp>
        <tr r="B52" s="1"/>
      </tp>
      <tp t="s">
        <v>-</v>
        <stp/>
        <stp>T&amp;T0</stp>
        <stp>ACP</stp>
        <stp>48</stp>
        <tr r="B51" s="1"/>
      </tp>
      <tp t="s">
        <v>-</v>
        <stp/>
        <stp>T&amp;T0</stp>
        <stp>DAT</stp>
        <stp>15</stp>
        <tr r="A18" s="1"/>
      </tp>
      <tp t="s">
        <v>-</v>
        <stp/>
        <stp>T&amp;T0</stp>
        <stp>ACP</stp>
        <stp>47</stp>
        <tr r="B50" s="1"/>
      </tp>
      <tp t="s">
        <v>-</v>
        <stp/>
        <stp>T&amp;T0</stp>
        <stp>AGR</stp>
        <stp>43</stp>
        <tr r="F46" s="1"/>
      </tp>
      <tp t="s">
        <v>-</v>
        <stp/>
        <stp>T&amp;T0</stp>
        <stp>DAT</stp>
        <stp>14</stp>
        <tr r="A17" s="1"/>
      </tp>
      <tp t="s">
        <v>-</v>
        <stp/>
        <stp>T&amp;T0</stp>
        <stp>ACP</stp>
        <stp>46</stp>
        <tr r="B49" s="1"/>
      </tp>
      <tp t="s">
        <v>-</v>
        <stp/>
        <stp>T&amp;T0</stp>
        <stp>AGR</stp>
        <stp>42</stp>
        <tr r="F45" s="1"/>
      </tp>
      <tp t="s">
        <v>-</v>
        <stp/>
        <stp>T&amp;T0</stp>
        <stp>DAT</stp>
        <stp>17</stp>
        <tr r="A20" s="1"/>
      </tp>
      <tp t="s">
        <v>-</v>
        <stp/>
        <stp>T&amp;T0</stp>
        <stp>ACP</stp>
        <stp>45</stp>
        <tr r="B48" s="1"/>
      </tp>
      <tp t="s">
        <v>-</v>
        <stp/>
        <stp>T&amp;T0</stp>
        <stp>AGR</stp>
        <stp>41</stp>
        <tr r="F44" s="1"/>
      </tp>
      <tp t="s">
        <v>-</v>
        <stp/>
        <stp>T&amp;T0</stp>
        <stp>DAT</stp>
        <stp>16</stp>
        <tr r="A19" s="1"/>
      </tp>
      <tp t="s">
        <v>-</v>
        <stp/>
        <stp>T&amp;T0</stp>
        <stp>ACP</stp>
        <stp>44</stp>
        <tr r="B47" s="1"/>
      </tp>
      <tp t="s">
        <v>-</v>
        <stp/>
        <stp>T&amp;T0</stp>
        <stp>AGR</stp>
        <stp>40</stp>
        <tr r="F43" s="1"/>
      </tp>
      <tp t="s">
        <v>-</v>
        <stp/>
        <stp>T&amp;T0</stp>
        <stp>DAT</stp>
        <stp>11</stp>
        <tr r="A14" s="1"/>
      </tp>
      <tp t="s">
        <v>-</v>
        <stp/>
        <stp>T&amp;T0</stp>
        <stp>ACP</stp>
        <stp>43</stp>
        <tr r="B46" s="1"/>
      </tp>
      <tp t="s">
        <v>-</v>
        <stp/>
        <stp>T&amp;T0</stp>
        <stp>AGR</stp>
        <stp>47</stp>
        <tr r="F50" s="1"/>
      </tp>
      <tp t="s">
        <v>-</v>
        <stp/>
        <stp>T&amp;T0</stp>
        <stp>DAT</stp>
        <stp>10</stp>
        <tr r="A13" s="1"/>
      </tp>
      <tp t="s">
        <v>-</v>
        <stp/>
        <stp>T&amp;T0</stp>
        <stp>ACP</stp>
        <stp>42</stp>
        <tr r="B45" s="1"/>
      </tp>
      <tp t="s">
        <v>-</v>
        <stp/>
        <stp>T&amp;T0</stp>
        <stp>AGR</stp>
        <stp>46</stp>
        <tr r="F49" s="1"/>
      </tp>
      <tp t="s">
        <v>-</v>
        <stp/>
        <stp>T&amp;T0</stp>
        <stp>DAT</stp>
        <stp>13</stp>
        <tr r="A16" s="1"/>
      </tp>
      <tp t="s">
        <v>-</v>
        <stp/>
        <stp>T&amp;T0</stp>
        <stp>ACP</stp>
        <stp>41</stp>
        <tr r="B44" s="1"/>
      </tp>
      <tp t="s">
        <v>-</v>
        <stp/>
        <stp>T&amp;T0</stp>
        <stp>AGR</stp>
        <stp>45</stp>
        <tr r="F48" s="1"/>
      </tp>
      <tp t="s">
        <v>-</v>
        <stp/>
        <stp>T&amp;T0</stp>
        <stp>DAT</stp>
        <stp>12</stp>
        <tr r="A15" s="1"/>
      </tp>
      <tp t="s">
        <v>-</v>
        <stp/>
        <stp>T&amp;T0</stp>
        <stp>ACP</stp>
        <stp>40</stp>
        <tr r="B43" s="1"/>
      </tp>
      <tp t="s">
        <v>-</v>
        <stp/>
        <stp>T&amp;T0</stp>
        <stp>AGR</stp>
        <stp>44</stp>
        <tr r="F47" s="1"/>
      </tp>
      <tp t="s">
        <v>-</v>
        <stp/>
        <stp>T&amp;T0</stp>
        <stp>AVD</stp>
        <stp>48</stp>
        <tr r="E51" s="1"/>
      </tp>
      <tp t="s">
        <v>-</v>
        <stp/>
        <stp>T&amp;T0</stp>
        <stp>AVD</stp>
        <stp>49</stp>
        <tr r="E52" s="1"/>
      </tp>
      <tp t="s">
        <v>-</v>
        <stp/>
        <stp>T&amp;T0</stp>
        <stp>AVD</stp>
        <stp>42</stp>
        <tr r="E45" s="1"/>
      </tp>
      <tp t="s">
        <v>-</v>
        <stp/>
        <stp>T&amp;T0</stp>
        <stp>AVD</stp>
        <stp>43</stp>
        <tr r="E46" s="1"/>
      </tp>
      <tp t="s">
        <v>-</v>
        <stp/>
        <stp>T&amp;T0</stp>
        <stp>AVD</stp>
        <stp>40</stp>
        <tr r="E43" s="1"/>
      </tp>
      <tp t="s">
        <v>-</v>
        <stp/>
        <stp>T&amp;T0</stp>
        <stp>AVD</stp>
        <stp>41</stp>
        <tr r="E44" s="1"/>
      </tp>
      <tp t="s">
        <v>-</v>
        <stp/>
        <stp>T&amp;T0</stp>
        <stp>AVD</stp>
        <stp>46</stp>
        <tr r="E49" s="1"/>
      </tp>
      <tp t="s">
        <v>-</v>
        <stp/>
        <stp>T&amp;T0</stp>
        <stp>AVD</stp>
        <stp>47</stp>
        <tr r="E50" s="1"/>
      </tp>
      <tp t="s">
        <v>-</v>
        <stp/>
        <stp>T&amp;T0</stp>
        <stp>AVD</stp>
        <stp>44</stp>
        <tr r="E47" s="1"/>
      </tp>
      <tp t="s">
        <v>-</v>
        <stp/>
        <stp>T&amp;T0</stp>
        <stp>AVD</stp>
        <stp>45</stp>
        <tr r="E4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859B-F921-4737-84CC-D0093D914C4F}">
  <dimension ref="A1:H503"/>
  <sheetViews>
    <sheetView tabSelected="1" workbookViewId="0">
      <selection activeCell="A4" sqref="A4"/>
    </sheetView>
  </sheetViews>
  <sheetFormatPr defaultRowHeight="15" x14ac:dyDescent="0.25"/>
  <cols>
    <col min="1" max="1" width="10" style="1" bestFit="1" customWidth="1"/>
    <col min="2" max="2" width="10.85546875" style="1" bestFit="1" customWidth="1"/>
    <col min="3" max="3" width="9.85546875" style="1" bestFit="1" customWidth="1"/>
    <col min="4" max="4" width="6" style="1" bestFit="1" customWidth="1"/>
    <col min="5" max="5" width="11.42578125" style="1" bestFit="1" customWidth="1"/>
    <col min="6" max="6" width="8.7109375" style="1" bestFit="1" customWidth="1"/>
    <col min="7" max="8" width="9.140625" style="1"/>
  </cols>
  <sheetData>
    <row r="1" spans="1:7" x14ac:dyDescent="0.25">
      <c r="A1" s="1" t="str">
        <f>RTD("rtdtrading.rtdserver",, "T&amp;T0", "INFO", "ATV")</f>
        <v>WDOX26</v>
      </c>
      <c r="B1" s="1" t="s">
        <v>7</v>
      </c>
      <c r="C1" s="1">
        <f>RTD("rtdtrading.rtdserver",, "WDOX26_F_0", "ULT")</f>
        <v>5261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0</v>
      </c>
      <c r="E2" s="1" t="s">
        <v>5</v>
      </c>
      <c r="F2" s="1" t="s">
        <v>1</v>
      </c>
      <c r="G2" s="1" t="s">
        <v>6</v>
      </c>
    </row>
    <row r="3" spans="1:7" x14ac:dyDescent="0.25">
      <c r="A3" s="1" t="str">
        <f>RTD("rtdtrading.rtdserver",, "T&amp;T0", "DAT", 0)</f>
        <v>-</v>
      </c>
      <c r="B3" s="1" t="str">
        <f>RTD("rtdtrading.rtdserver",, "T&amp;T0", "ACP", 0)</f>
        <v>-</v>
      </c>
      <c r="C3" s="1">
        <f>RTD("rtdtrading.rtdserver",, "T&amp;T0", "PRE", 0)</f>
        <v>0</v>
      </c>
      <c r="D3" s="1">
        <f>RTD("rtdtrading.rtdserver",, "T&amp;T0", "QUL", 0)</f>
        <v>0</v>
      </c>
      <c r="E3" s="1" t="str">
        <f>RTD("rtdtrading.rtdserver",, "T&amp;T0", "AVD", 0)</f>
        <v>-</v>
      </c>
      <c r="F3" s="1" t="str">
        <f>RTD("rtdtrading.rtdserver",, "T&amp;T0", "AGR", 0)</f>
        <v>-</v>
      </c>
      <c r="G3" s="1" t="str">
        <f>RTD("rtdtrading.rtdserver",, "T&amp;T0", "AGAG", 0)</f>
        <v>-</v>
      </c>
    </row>
    <row r="4" spans="1:7" x14ac:dyDescent="0.25">
      <c r="A4" s="1" t="str">
        <f>RTD("rtdtrading.rtdserver",, "T&amp;T0", "DAT", 1)</f>
        <v>-</v>
      </c>
      <c r="B4" s="1" t="str">
        <f>RTD("rtdtrading.rtdserver",, "T&amp;T0", "ACP", 1)</f>
        <v>-</v>
      </c>
      <c r="C4" s="1">
        <f>RTD("rtdtrading.rtdserver",, "T&amp;T0", "PRE", 1)</f>
        <v>0</v>
      </c>
      <c r="D4" s="1">
        <f>RTD("rtdtrading.rtdserver",, "T&amp;T0", "QUL", 1)</f>
        <v>0</v>
      </c>
      <c r="E4" s="1" t="str">
        <f>RTD("rtdtrading.rtdserver",, "T&amp;T0", "AVD", 1)</f>
        <v>-</v>
      </c>
      <c r="F4" s="1" t="str">
        <f>RTD("rtdtrading.rtdserver",, "T&amp;T0", "AGR", 1)</f>
        <v>-</v>
      </c>
      <c r="G4" s="1" t="str">
        <f>RTD("rtdtrading.rtdserver",, "T&amp;T0", "AGAG", 1)</f>
        <v>-</v>
      </c>
    </row>
    <row r="5" spans="1:7" x14ac:dyDescent="0.25">
      <c r="A5" s="1" t="str">
        <f>RTD("rtdtrading.rtdserver",, "T&amp;T0", "DAT", 2)</f>
        <v>-</v>
      </c>
      <c r="B5" s="1" t="str">
        <f>RTD("rtdtrading.rtdserver",, "T&amp;T0", "ACP", 2)</f>
        <v>-</v>
      </c>
      <c r="C5" s="1">
        <f>RTD("rtdtrading.rtdserver",, "T&amp;T0", "PRE", 2)</f>
        <v>0</v>
      </c>
      <c r="D5" s="1">
        <f>RTD("rtdtrading.rtdserver",, "T&amp;T0", "QUL", 2)</f>
        <v>0</v>
      </c>
      <c r="E5" s="1" t="str">
        <f>RTD("rtdtrading.rtdserver",, "T&amp;T0", "AVD", 2)</f>
        <v>-</v>
      </c>
      <c r="F5" s="1" t="str">
        <f>RTD("rtdtrading.rtdserver",, "T&amp;T0", "AGR", 2)</f>
        <v>-</v>
      </c>
      <c r="G5" s="1" t="str">
        <f>RTD("rtdtrading.rtdserver",, "T&amp;T0", "AGAG", 2)</f>
        <v>-</v>
      </c>
    </row>
    <row r="6" spans="1:7" x14ac:dyDescent="0.25">
      <c r="A6" s="1" t="str">
        <f>RTD("rtdtrading.rtdserver",, "T&amp;T0", "DAT", 3)</f>
        <v>-</v>
      </c>
      <c r="B6" s="1" t="str">
        <f>RTD("rtdtrading.rtdserver",, "T&amp;T0", "ACP", 3)</f>
        <v>-</v>
      </c>
      <c r="C6" s="1">
        <f>RTD("rtdtrading.rtdserver",, "T&amp;T0", "PRE", 3)</f>
        <v>0</v>
      </c>
      <c r="D6" s="1">
        <f>RTD("rtdtrading.rtdserver",, "T&amp;T0", "QUL", 3)</f>
        <v>0</v>
      </c>
      <c r="E6" s="1" t="str">
        <f>RTD("rtdtrading.rtdserver",, "T&amp;T0", "AVD", 3)</f>
        <v>-</v>
      </c>
      <c r="F6" s="1" t="str">
        <f>RTD("rtdtrading.rtdserver",, "T&amp;T0", "AGR", 3)</f>
        <v>-</v>
      </c>
      <c r="G6" s="1" t="str">
        <f>RTD("rtdtrading.rtdserver",, "T&amp;T0", "AGAG", 3)</f>
        <v>-</v>
      </c>
    </row>
    <row r="7" spans="1:7" x14ac:dyDescent="0.25">
      <c r="A7" s="1" t="str">
        <f>RTD("rtdtrading.rtdserver",, "T&amp;T0", "DAT", 4)</f>
        <v>-</v>
      </c>
      <c r="B7" s="1" t="str">
        <f>RTD("rtdtrading.rtdserver",, "T&amp;T0", "ACP", 4)</f>
        <v>-</v>
      </c>
      <c r="C7" s="1">
        <f>RTD("rtdtrading.rtdserver",, "T&amp;T0", "PRE", 4)</f>
        <v>0</v>
      </c>
      <c r="D7" s="1">
        <f>RTD("rtdtrading.rtdserver",, "T&amp;T0", "QUL", 4)</f>
        <v>0</v>
      </c>
      <c r="E7" s="1" t="str">
        <f>RTD("rtdtrading.rtdserver",, "T&amp;T0", "AVD", 4)</f>
        <v>-</v>
      </c>
      <c r="F7" s="1" t="str">
        <f>RTD("rtdtrading.rtdserver",, "T&amp;T0", "AGR", 4)</f>
        <v>-</v>
      </c>
      <c r="G7" s="1" t="str">
        <f>RTD("rtdtrading.rtdserver",, "T&amp;T0", "AGAG", 4)</f>
        <v>-</v>
      </c>
    </row>
    <row r="8" spans="1:7" x14ac:dyDescent="0.25">
      <c r="A8" s="1" t="str">
        <f>RTD("rtdtrading.rtdserver",, "T&amp;T0", "DAT", 5)</f>
        <v>-</v>
      </c>
      <c r="B8" s="1" t="str">
        <f>RTD("rtdtrading.rtdserver",, "T&amp;T0", "ACP", 5)</f>
        <v>-</v>
      </c>
      <c r="C8" s="1">
        <f>RTD("rtdtrading.rtdserver",, "T&amp;T0", "PRE", 5)</f>
        <v>0</v>
      </c>
      <c r="D8" s="1">
        <f>RTD("rtdtrading.rtdserver",, "T&amp;T0", "QUL", 5)</f>
        <v>0</v>
      </c>
      <c r="E8" s="1" t="str">
        <f>RTD("rtdtrading.rtdserver",, "T&amp;T0", "AVD", 5)</f>
        <v>-</v>
      </c>
      <c r="F8" s="1" t="str">
        <f>RTD("rtdtrading.rtdserver",, "T&amp;T0", "AGR", 5)</f>
        <v>-</v>
      </c>
      <c r="G8" s="1" t="str">
        <f>RTD("rtdtrading.rtdserver",, "T&amp;T0", "AGAG", 5)</f>
        <v>-</v>
      </c>
    </row>
    <row r="9" spans="1:7" x14ac:dyDescent="0.25">
      <c r="A9" s="1" t="str">
        <f>RTD("rtdtrading.rtdserver",, "T&amp;T0", "DAT", 6)</f>
        <v>-</v>
      </c>
      <c r="B9" s="1" t="str">
        <f>RTD("rtdtrading.rtdserver",, "T&amp;T0", "ACP", 6)</f>
        <v>-</v>
      </c>
      <c r="C9" s="1">
        <f>RTD("rtdtrading.rtdserver",, "T&amp;T0", "PRE", 6)</f>
        <v>0</v>
      </c>
      <c r="D9" s="1">
        <f>RTD("rtdtrading.rtdserver",, "T&amp;T0", "QUL", 6)</f>
        <v>0</v>
      </c>
      <c r="E9" s="1" t="str">
        <f>RTD("rtdtrading.rtdserver",, "T&amp;T0", "AVD", 6)</f>
        <v>-</v>
      </c>
      <c r="F9" s="1" t="str">
        <f>RTD("rtdtrading.rtdserver",, "T&amp;T0", "AGR", 6)</f>
        <v>-</v>
      </c>
      <c r="G9" s="1" t="str">
        <f>RTD("rtdtrading.rtdserver",, "T&amp;T0", "AGAG", 6)</f>
        <v>-</v>
      </c>
    </row>
    <row r="10" spans="1:7" x14ac:dyDescent="0.25">
      <c r="A10" s="1" t="str">
        <f>RTD("rtdtrading.rtdserver",, "T&amp;T0", "DAT", 7)</f>
        <v>-</v>
      </c>
      <c r="B10" s="1" t="str">
        <f>RTD("rtdtrading.rtdserver",, "T&amp;T0", "ACP", 7)</f>
        <v>-</v>
      </c>
      <c r="C10" s="1">
        <f>RTD("rtdtrading.rtdserver",, "T&amp;T0", "PRE", 7)</f>
        <v>0</v>
      </c>
      <c r="D10" s="1">
        <f>RTD("rtdtrading.rtdserver",, "T&amp;T0", "QUL", 7)</f>
        <v>0</v>
      </c>
      <c r="E10" s="1" t="str">
        <f>RTD("rtdtrading.rtdserver",, "T&amp;T0", "AVD", 7)</f>
        <v>-</v>
      </c>
      <c r="F10" s="1" t="str">
        <f>RTD("rtdtrading.rtdserver",, "T&amp;T0", "AGR", 7)</f>
        <v>-</v>
      </c>
      <c r="G10" s="1" t="str">
        <f>RTD("rtdtrading.rtdserver",, "T&amp;T0", "AGAG", 7)</f>
        <v>-</v>
      </c>
    </row>
    <row r="11" spans="1:7" x14ac:dyDescent="0.25">
      <c r="A11" s="1" t="str">
        <f>RTD("rtdtrading.rtdserver",, "T&amp;T0", "DAT", 8)</f>
        <v>-</v>
      </c>
      <c r="B11" s="1" t="str">
        <f>RTD("rtdtrading.rtdserver",, "T&amp;T0", "ACP", 8)</f>
        <v>-</v>
      </c>
      <c r="C11" s="1">
        <f>RTD("rtdtrading.rtdserver",, "T&amp;T0", "PRE", 8)</f>
        <v>0</v>
      </c>
      <c r="D11" s="1">
        <f>RTD("rtdtrading.rtdserver",, "T&amp;T0", "QUL", 8)</f>
        <v>0</v>
      </c>
      <c r="E11" s="1" t="str">
        <f>RTD("rtdtrading.rtdserver",, "T&amp;T0", "AVD", 8)</f>
        <v>-</v>
      </c>
      <c r="F11" s="1" t="str">
        <f>RTD("rtdtrading.rtdserver",, "T&amp;T0", "AGR", 8)</f>
        <v>-</v>
      </c>
      <c r="G11" s="1" t="str">
        <f>RTD("rtdtrading.rtdserver",, "T&amp;T0", "AGAG", 8)</f>
        <v>-</v>
      </c>
    </row>
    <row r="12" spans="1:7" x14ac:dyDescent="0.25">
      <c r="A12" s="1" t="str">
        <f>RTD("rtdtrading.rtdserver",, "T&amp;T0", "DAT", 9)</f>
        <v>-</v>
      </c>
      <c r="B12" s="1" t="str">
        <f>RTD("rtdtrading.rtdserver",, "T&amp;T0", "ACP", 9)</f>
        <v>-</v>
      </c>
      <c r="C12" s="1">
        <f>RTD("rtdtrading.rtdserver",, "T&amp;T0", "PRE", 9)</f>
        <v>0</v>
      </c>
      <c r="D12" s="1">
        <f>RTD("rtdtrading.rtdserver",, "T&amp;T0", "QUL", 9)</f>
        <v>0</v>
      </c>
      <c r="E12" s="1" t="str">
        <f>RTD("rtdtrading.rtdserver",, "T&amp;T0", "AVD", 9)</f>
        <v>-</v>
      </c>
      <c r="F12" s="1" t="str">
        <f>RTD("rtdtrading.rtdserver",, "T&amp;T0", "AGR", 9)</f>
        <v>-</v>
      </c>
      <c r="G12" s="1" t="str">
        <f>RTD("rtdtrading.rtdserver",, "T&amp;T0", "AGAG", 9)</f>
        <v>-</v>
      </c>
    </row>
    <row r="13" spans="1:7" x14ac:dyDescent="0.25">
      <c r="A13" s="1" t="str">
        <f>RTD("rtdtrading.rtdserver",, "T&amp;T0", "DAT", 10)</f>
        <v>-</v>
      </c>
      <c r="B13" s="1" t="str">
        <f>RTD("rtdtrading.rtdserver",, "T&amp;T0", "ACP", 10)</f>
        <v>-</v>
      </c>
      <c r="C13" s="1">
        <f>RTD("rtdtrading.rtdserver",, "T&amp;T0", "PRE", 10)</f>
        <v>0</v>
      </c>
      <c r="D13" s="1">
        <f>RTD("rtdtrading.rtdserver",, "T&amp;T0", "QUL", 10)</f>
        <v>0</v>
      </c>
      <c r="E13" s="1" t="str">
        <f>RTD("rtdtrading.rtdserver",, "T&amp;T0", "AVD", 10)</f>
        <v>-</v>
      </c>
      <c r="F13" s="1" t="str">
        <f>RTD("rtdtrading.rtdserver",, "T&amp;T0", "AGR", 10)</f>
        <v>-</v>
      </c>
      <c r="G13" s="1" t="str">
        <f>RTD("rtdtrading.rtdserver",, "T&amp;T0", "AGAG", 10)</f>
        <v>-</v>
      </c>
    </row>
    <row r="14" spans="1:7" x14ac:dyDescent="0.25">
      <c r="A14" s="1" t="str">
        <f>RTD("rtdtrading.rtdserver",, "T&amp;T0", "DAT", 11)</f>
        <v>-</v>
      </c>
      <c r="B14" s="1" t="str">
        <f>RTD("rtdtrading.rtdserver",, "T&amp;T0", "ACP", 11)</f>
        <v>-</v>
      </c>
      <c r="C14" s="1">
        <f>RTD("rtdtrading.rtdserver",, "T&amp;T0", "PRE", 11)</f>
        <v>0</v>
      </c>
      <c r="D14" s="1">
        <f>RTD("rtdtrading.rtdserver",, "T&amp;T0", "QUL", 11)</f>
        <v>0</v>
      </c>
      <c r="E14" s="1" t="str">
        <f>RTD("rtdtrading.rtdserver",, "T&amp;T0", "AVD", 11)</f>
        <v>-</v>
      </c>
      <c r="F14" s="1" t="str">
        <f>RTD("rtdtrading.rtdserver",, "T&amp;T0", "AGR", 11)</f>
        <v>-</v>
      </c>
      <c r="G14" s="1" t="str">
        <f>RTD("rtdtrading.rtdserver",, "T&amp;T0", "AGAG", 11)</f>
        <v>-</v>
      </c>
    </row>
    <row r="15" spans="1:7" x14ac:dyDescent="0.25">
      <c r="A15" s="1" t="str">
        <f>RTD("rtdtrading.rtdserver",, "T&amp;T0", "DAT", 12)</f>
        <v>-</v>
      </c>
      <c r="B15" s="1" t="str">
        <f>RTD("rtdtrading.rtdserver",, "T&amp;T0", "ACP", 12)</f>
        <v>-</v>
      </c>
      <c r="C15" s="1">
        <f>RTD("rtdtrading.rtdserver",, "T&amp;T0", "PRE", 12)</f>
        <v>0</v>
      </c>
      <c r="D15" s="1">
        <f>RTD("rtdtrading.rtdserver",, "T&amp;T0", "QUL", 12)</f>
        <v>0</v>
      </c>
      <c r="E15" s="1" t="str">
        <f>RTD("rtdtrading.rtdserver",, "T&amp;T0", "AVD", 12)</f>
        <v>-</v>
      </c>
      <c r="F15" s="1" t="str">
        <f>RTD("rtdtrading.rtdserver",, "T&amp;T0", "AGR", 12)</f>
        <v>-</v>
      </c>
      <c r="G15" s="1" t="str">
        <f>RTD("rtdtrading.rtdserver",, "T&amp;T0", "AGAG", 12)</f>
        <v>-</v>
      </c>
    </row>
    <row r="16" spans="1:7" x14ac:dyDescent="0.25">
      <c r="A16" s="1" t="str">
        <f>RTD("rtdtrading.rtdserver",, "T&amp;T0", "DAT", 13)</f>
        <v>-</v>
      </c>
      <c r="B16" s="1" t="str">
        <f>RTD("rtdtrading.rtdserver",, "T&amp;T0", "ACP", 13)</f>
        <v>-</v>
      </c>
      <c r="C16" s="1">
        <f>RTD("rtdtrading.rtdserver",, "T&amp;T0", "PRE", 13)</f>
        <v>0</v>
      </c>
      <c r="D16" s="1">
        <f>RTD("rtdtrading.rtdserver",, "T&amp;T0", "QUL", 13)</f>
        <v>0</v>
      </c>
      <c r="E16" s="1" t="str">
        <f>RTD("rtdtrading.rtdserver",, "T&amp;T0", "AVD", 13)</f>
        <v>-</v>
      </c>
      <c r="F16" s="1" t="str">
        <f>RTD("rtdtrading.rtdserver",, "T&amp;T0", "AGR", 13)</f>
        <v>-</v>
      </c>
      <c r="G16" s="1" t="str">
        <f>RTD("rtdtrading.rtdserver",, "T&amp;T0", "AGAG", 13)</f>
        <v>-</v>
      </c>
    </row>
    <row r="17" spans="1:7" x14ac:dyDescent="0.25">
      <c r="A17" s="1" t="str">
        <f>RTD("rtdtrading.rtdserver",, "T&amp;T0", "DAT", 14)</f>
        <v>-</v>
      </c>
      <c r="B17" s="1" t="str">
        <f>RTD("rtdtrading.rtdserver",, "T&amp;T0", "ACP", 14)</f>
        <v>-</v>
      </c>
      <c r="C17" s="1">
        <f>RTD("rtdtrading.rtdserver",, "T&amp;T0", "PRE", 14)</f>
        <v>0</v>
      </c>
      <c r="D17" s="1">
        <f>RTD("rtdtrading.rtdserver",, "T&amp;T0", "QUL", 14)</f>
        <v>0</v>
      </c>
      <c r="E17" s="1" t="str">
        <f>RTD("rtdtrading.rtdserver",, "T&amp;T0", "AVD", 14)</f>
        <v>-</v>
      </c>
      <c r="F17" s="1" t="str">
        <f>RTD("rtdtrading.rtdserver",, "T&amp;T0", "AGR", 14)</f>
        <v>-</v>
      </c>
      <c r="G17" s="1" t="str">
        <f>RTD("rtdtrading.rtdserver",, "T&amp;T0", "AGAG", 14)</f>
        <v>-</v>
      </c>
    </row>
    <row r="18" spans="1:7" x14ac:dyDescent="0.25">
      <c r="A18" s="1" t="str">
        <f>RTD("rtdtrading.rtdserver",, "T&amp;T0", "DAT", 15)</f>
        <v>-</v>
      </c>
      <c r="B18" s="1" t="str">
        <f>RTD("rtdtrading.rtdserver",, "T&amp;T0", "ACP", 15)</f>
        <v>-</v>
      </c>
      <c r="C18" s="1">
        <f>RTD("rtdtrading.rtdserver",, "T&amp;T0", "PRE", 15)</f>
        <v>0</v>
      </c>
      <c r="D18" s="1">
        <f>RTD("rtdtrading.rtdserver",, "T&amp;T0", "QUL", 15)</f>
        <v>0</v>
      </c>
      <c r="E18" s="1" t="str">
        <f>RTD("rtdtrading.rtdserver",, "T&amp;T0", "AVD", 15)</f>
        <v>-</v>
      </c>
      <c r="F18" s="1" t="str">
        <f>RTD("rtdtrading.rtdserver",, "T&amp;T0", "AGR", 15)</f>
        <v>-</v>
      </c>
      <c r="G18" s="1" t="str">
        <f>RTD("rtdtrading.rtdserver",, "T&amp;T0", "AGAG", 15)</f>
        <v>-</v>
      </c>
    </row>
    <row r="19" spans="1:7" x14ac:dyDescent="0.25">
      <c r="A19" s="1" t="str">
        <f>RTD("rtdtrading.rtdserver",, "T&amp;T0", "DAT", 16)</f>
        <v>-</v>
      </c>
      <c r="B19" s="1" t="str">
        <f>RTD("rtdtrading.rtdserver",, "T&amp;T0", "ACP", 16)</f>
        <v>-</v>
      </c>
      <c r="C19" s="1">
        <f>RTD("rtdtrading.rtdserver",, "T&amp;T0", "PRE", 16)</f>
        <v>0</v>
      </c>
      <c r="D19" s="1">
        <f>RTD("rtdtrading.rtdserver",, "T&amp;T0", "QUL", 16)</f>
        <v>0</v>
      </c>
      <c r="E19" s="1" t="str">
        <f>RTD("rtdtrading.rtdserver",, "T&amp;T0", "AVD", 16)</f>
        <v>-</v>
      </c>
      <c r="F19" s="1" t="str">
        <f>RTD("rtdtrading.rtdserver",, "T&amp;T0", "AGR", 16)</f>
        <v>-</v>
      </c>
      <c r="G19" s="1" t="str">
        <f>RTD("rtdtrading.rtdserver",, "T&amp;T0", "AGAG", 16)</f>
        <v>-</v>
      </c>
    </row>
    <row r="20" spans="1:7" x14ac:dyDescent="0.25">
      <c r="A20" s="1" t="str">
        <f>RTD("rtdtrading.rtdserver",, "T&amp;T0", "DAT", 17)</f>
        <v>-</v>
      </c>
      <c r="B20" s="1" t="str">
        <f>RTD("rtdtrading.rtdserver",, "T&amp;T0", "ACP", 17)</f>
        <v>-</v>
      </c>
      <c r="C20" s="1">
        <f>RTD("rtdtrading.rtdserver",, "T&amp;T0", "PRE", 17)</f>
        <v>0</v>
      </c>
      <c r="D20" s="1">
        <f>RTD("rtdtrading.rtdserver",, "T&amp;T0", "QUL", 17)</f>
        <v>0</v>
      </c>
      <c r="E20" s="1" t="str">
        <f>RTD("rtdtrading.rtdserver",, "T&amp;T0", "AVD", 17)</f>
        <v>-</v>
      </c>
      <c r="F20" s="1" t="str">
        <f>RTD("rtdtrading.rtdserver",, "T&amp;T0", "AGR", 17)</f>
        <v>-</v>
      </c>
      <c r="G20" s="1" t="str">
        <f>RTD("rtdtrading.rtdserver",, "T&amp;T0", "AGAG", 17)</f>
        <v>-</v>
      </c>
    </row>
    <row r="21" spans="1:7" x14ac:dyDescent="0.25">
      <c r="A21" s="1" t="str">
        <f>RTD("rtdtrading.rtdserver",, "T&amp;T0", "DAT", 18)</f>
        <v>-</v>
      </c>
      <c r="B21" s="1" t="str">
        <f>RTD("rtdtrading.rtdserver",, "T&amp;T0", "ACP", 18)</f>
        <v>-</v>
      </c>
      <c r="C21" s="1">
        <f>RTD("rtdtrading.rtdserver",, "T&amp;T0", "PRE", 18)</f>
        <v>0</v>
      </c>
      <c r="D21" s="1">
        <f>RTD("rtdtrading.rtdserver",, "T&amp;T0", "QUL", 18)</f>
        <v>0</v>
      </c>
      <c r="E21" s="1" t="str">
        <f>RTD("rtdtrading.rtdserver",, "T&amp;T0", "AVD", 18)</f>
        <v>-</v>
      </c>
      <c r="F21" s="1" t="str">
        <f>RTD("rtdtrading.rtdserver",, "T&amp;T0", "AGR", 18)</f>
        <v>-</v>
      </c>
      <c r="G21" s="1" t="str">
        <f>RTD("rtdtrading.rtdserver",, "T&amp;T0", "AGAG", 18)</f>
        <v>-</v>
      </c>
    </row>
    <row r="22" spans="1:7" x14ac:dyDescent="0.25">
      <c r="A22" s="1" t="str">
        <f>RTD("rtdtrading.rtdserver",, "T&amp;T0", "DAT", 19)</f>
        <v>-</v>
      </c>
      <c r="B22" s="1" t="str">
        <f>RTD("rtdtrading.rtdserver",, "T&amp;T0", "ACP", 19)</f>
        <v>-</v>
      </c>
      <c r="C22" s="1">
        <f>RTD("rtdtrading.rtdserver",, "T&amp;T0", "PRE", 19)</f>
        <v>0</v>
      </c>
      <c r="D22" s="1">
        <f>RTD("rtdtrading.rtdserver",, "T&amp;T0", "QUL", 19)</f>
        <v>0</v>
      </c>
      <c r="E22" s="1" t="str">
        <f>RTD("rtdtrading.rtdserver",, "T&amp;T0", "AVD", 19)</f>
        <v>-</v>
      </c>
      <c r="F22" s="1" t="str">
        <f>RTD("rtdtrading.rtdserver",, "T&amp;T0", "AGR", 19)</f>
        <v>-</v>
      </c>
      <c r="G22" s="1" t="str">
        <f>RTD("rtdtrading.rtdserver",, "T&amp;T0", "AGAG", 19)</f>
        <v>-</v>
      </c>
    </row>
    <row r="23" spans="1:7" x14ac:dyDescent="0.25">
      <c r="A23" s="1" t="str">
        <f>RTD("rtdtrading.rtdserver",, "T&amp;T0", "DAT", 20)</f>
        <v>-</v>
      </c>
      <c r="B23" s="1" t="str">
        <f>RTD("rtdtrading.rtdserver",, "T&amp;T0", "ACP", 20)</f>
        <v>-</v>
      </c>
      <c r="C23" s="1">
        <f>RTD("rtdtrading.rtdserver",, "T&amp;T0", "PRE", 20)</f>
        <v>0</v>
      </c>
      <c r="D23" s="1">
        <f>RTD("rtdtrading.rtdserver",, "T&amp;T0", "QUL", 20)</f>
        <v>0</v>
      </c>
      <c r="E23" s="1" t="str">
        <f>RTD("rtdtrading.rtdserver",, "T&amp;T0", "AVD", 20)</f>
        <v>-</v>
      </c>
      <c r="F23" s="1" t="str">
        <f>RTD("rtdtrading.rtdserver",, "T&amp;T0", "AGR", 20)</f>
        <v>-</v>
      </c>
      <c r="G23" s="1" t="str">
        <f>RTD("rtdtrading.rtdserver",, "T&amp;T0", "AGAG", 20)</f>
        <v>-</v>
      </c>
    </row>
    <row r="24" spans="1:7" x14ac:dyDescent="0.25">
      <c r="A24" s="1" t="str">
        <f>RTD("rtdtrading.rtdserver",, "T&amp;T0", "DAT", 21)</f>
        <v>-</v>
      </c>
      <c r="B24" s="1" t="str">
        <f>RTD("rtdtrading.rtdserver",, "T&amp;T0", "ACP", 21)</f>
        <v>-</v>
      </c>
      <c r="C24" s="1">
        <f>RTD("rtdtrading.rtdserver",, "T&amp;T0", "PRE", 21)</f>
        <v>0</v>
      </c>
      <c r="D24" s="1">
        <f>RTD("rtdtrading.rtdserver",, "T&amp;T0", "QUL", 21)</f>
        <v>0</v>
      </c>
      <c r="E24" s="1" t="str">
        <f>RTD("rtdtrading.rtdserver",, "T&amp;T0", "AVD", 21)</f>
        <v>-</v>
      </c>
      <c r="F24" s="1" t="str">
        <f>RTD("rtdtrading.rtdserver",, "T&amp;T0", "AGR", 21)</f>
        <v>-</v>
      </c>
      <c r="G24" s="1" t="str">
        <f>RTD("rtdtrading.rtdserver",, "T&amp;T0", "AGAG", 21)</f>
        <v>-</v>
      </c>
    </row>
    <row r="25" spans="1:7" x14ac:dyDescent="0.25">
      <c r="A25" s="1" t="str">
        <f>RTD("rtdtrading.rtdserver",, "T&amp;T0", "DAT", 22)</f>
        <v>-</v>
      </c>
      <c r="B25" s="1" t="str">
        <f>RTD("rtdtrading.rtdserver",, "T&amp;T0", "ACP", 22)</f>
        <v>-</v>
      </c>
      <c r="C25" s="1">
        <f>RTD("rtdtrading.rtdserver",, "T&amp;T0", "PRE", 22)</f>
        <v>0</v>
      </c>
      <c r="D25" s="1">
        <f>RTD("rtdtrading.rtdserver",, "T&amp;T0", "QUL", 22)</f>
        <v>0</v>
      </c>
      <c r="E25" s="1" t="str">
        <f>RTD("rtdtrading.rtdserver",, "T&amp;T0", "AVD", 22)</f>
        <v>-</v>
      </c>
      <c r="F25" s="1" t="str">
        <f>RTD("rtdtrading.rtdserver",, "T&amp;T0", "AGR", 22)</f>
        <v>-</v>
      </c>
      <c r="G25" s="1" t="str">
        <f>RTD("rtdtrading.rtdserver",, "T&amp;T0", "AGAG", 22)</f>
        <v>-</v>
      </c>
    </row>
    <row r="26" spans="1:7" x14ac:dyDescent="0.25">
      <c r="A26" s="1" t="str">
        <f>RTD("rtdtrading.rtdserver",, "T&amp;T0", "DAT", 23)</f>
        <v>-</v>
      </c>
      <c r="B26" s="1" t="str">
        <f>RTD("rtdtrading.rtdserver",, "T&amp;T0", "ACP", 23)</f>
        <v>-</v>
      </c>
      <c r="C26" s="1">
        <f>RTD("rtdtrading.rtdserver",, "T&amp;T0", "PRE", 23)</f>
        <v>0</v>
      </c>
      <c r="D26" s="1">
        <f>RTD("rtdtrading.rtdserver",, "T&amp;T0", "QUL", 23)</f>
        <v>0</v>
      </c>
      <c r="E26" s="1" t="str">
        <f>RTD("rtdtrading.rtdserver",, "T&amp;T0", "AVD", 23)</f>
        <v>-</v>
      </c>
      <c r="F26" s="1" t="str">
        <f>RTD("rtdtrading.rtdserver",, "T&amp;T0", "AGR", 23)</f>
        <v>-</v>
      </c>
      <c r="G26" s="1" t="str">
        <f>RTD("rtdtrading.rtdserver",, "T&amp;T0", "AGAG", 23)</f>
        <v>-</v>
      </c>
    </row>
    <row r="27" spans="1:7" x14ac:dyDescent="0.25">
      <c r="A27" s="1" t="str">
        <f>RTD("rtdtrading.rtdserver",, "T&amp;T0", "DAT", 24)</f>
        <v>-</v>
      </c>
      <c r="B27" s="1" t="str">
        <f>RTD("rtdtrading.rtdserver",, "T&amp;T0", "ACP", 24)</f>
        <v>-</v>
      </c>
      <c r="C27" s="1">
        <f>RTD("rtdtrading.rtdserver",, "T&amp;T0", "PRE", 24)</f>
        <v>0</v>
      </c>
      <c r="D27" s="1">
        <f>RTD("rtdtrading.rtdserver",, "T&amp;T0", "QUL", 24)</f>
        <v>0</v>
      </c>
      <c r="E27" s="1" t="str">
        <f>RTD("rtdtrading.rtdserver",, "T&amp;T0", "AVD", 24)</f>
        <v>-</v>
      </c>
      <c r="F27" s="1" t="str">
        <f>RTD("rtdtrading.rtdserver",, "T&amp;T0", "AGR", 24)</f>
        <v>-</v>
      </c>
      <c r="G27" s="1" t="str">
        <f>RTD("rtdtrading.rtdserver",, "T&amp;T0", "AGAG", 24)</f>
        <v>-</v>
      </c>
    </row>
    <row r="28" spans="1:7" x14ac:dyDescent="0.25">
      <c r="A28" s="1" t="str">
        <f>RTD("rtdtrading.rtdserver",, "T&amp;T0", "DAT", 25)</f>
        <v>-</v>
      </c>
      <c r="B28" s="1" t="str">
        <f>RTD("rtdtrading.rtdserver",, "T&amp;T0", "ACP", 25)</f>
        <v>-</v>
      </c>
      <c r="C28" s="1">
        <f>RTD("rtdtrading.rtdserver",, "T&amp;T0", "PRE", 25)</f>
        <v>0</v>
      </c>
      <c r="D28" s="1">
        <f>RTD("rtdtrading.rtdserver",, "T&amp;T0", "QUL", 25)</f>
        <v>0</v>
      </c>
      <c r="E28" s="1" t="str">
        <f>RTD("rtdtrading.rtdserver",, "T&amp;T0", "AVD", 25)</f>
        <v>-</v>
      </c>
      <c r="F28" s="1" t="str">
        <f>RTD("rtdtrading.rtdserver",, "T&amp;T0", "AGR", 25)</f>
        <v>-</v>
      </c>
      <c r="G28" s="1" t="str">
        <f>RTD("rtdtrading.rtdserver",, "T&amp;T0", "AGAG", 25)</f>
        <v>-</v>
      </c>
    </row>
    <row r="29" spans="1:7" x14ac:dyDescent="0.25">
      <c r="A29" s="1" t="str">
        <f>RTD("rtdtrading.rtdserver",, "T&amp;T0", "DAT", 26)</f>
        <v>-</v>
      </c>
      <c r="B29" s="1" t="str">
        <f>RTD("rtdtrading.rtdserver",, "T&amp;T0", "ACP", 26)</f>
        <v>-</v>
      </c>
      <c r="C29" s="1">
        <f>RTD("rtdtrading.rtdserver",, "T&amp;T0", "PRE", 26)</f>
        <v>0</v>
      </c>
      <c r="D29" s="1">
        <f>RTD("rtdtrading.rtdserver",, "T&amp;T0", "QUL", 26)</f>
        <v>0</v>
      </c>
      <c r="E29" s="1" t="str">
        <f>RTD("rtdtrading.rtdserver",, "T&amp;T0", "AVD", 26)</f>
        <v>-</v>
      </c>
      <c r="F29" s="1" t="str">
        <f>RTD("rtdtrading.rtdserver",, "T&amp;T0", "AGR", 26)</f>
        <v>-</v>
      </c>
      <c r="G29" s="1" t="str">
        <f>RTD("rtdtrading.rtdserver",, "T&amp;T0", "AGAG", 26)</f>
        <v>-</v>
      </c>
    </row>
    <row r="30" spans="1:7" x14ac:dyDescent="0.25">
      <c r="A30" s="1" t="str">
        <f>RTD("rtdtrading.rtdserver",, "T&amp;T0", "DAT", 27)</f>
        <v>-</v>
      </c>
      <c r="B30" s="1" t="str">
        <f>RTD("rtdtrading.rtdserver",, "T&amp;T0", "ACP", 27)</f>
        <v>-</v>
      </c>
      <c r="C30" s="1">
        <f>RTD("rtdtrading.rtdserver",, "T&amp;T0", "PRE", 27)</f>
        <v>0</v>
      </c>
      <c r="D30" s="1">
        <f>RTD("rtdtrading.rtdserver",, "T&amp;T0", "QUL", 27)</f>
        <v>0</v>
      </c>
      <c r="E30" s="1" t="str">
        <f>RTD("rtdtrading.rtdserver",, "T&amp;T0", "AVD", 27)</f>
        <v>-</v>
      </c>
      <c r="F30" s="1" t="str">
        <f>RTD("rtdtrading.rtdserver",, "T&amp;T0", "AGR", 27)</f>
        <v>-</v>
      </c>
      <c r="G30" s="1" t="str">
        <f>RTD("rtdtrading.rtdserver",, "T&amp;T0", "AGAG", 27)</f>
        <v>-</v>
      </c>
    </row>
    <row r="31" spans="1:7" x14ac:dyDescent="0.25">
      <c r="A31" s="1" t="str">
        <f>RTD("rtdtrading.rtdserver",, "T&amp;T0", "DAT", 28)</f>
        <v>-</v>
      </c>
      <c r="B31" s="1" t="str">
        <f>RTD("rtdtrading.rtdserver",, "T&amp;T0", "ACP", 28)</f>
        <v>-</v>
      </c>
      <c r="C31" s="1">
        <f>RTD("rtdtrading.rtdserver",, "T&amp;T0", "PRE", 28)</f>
        <v>0</v>
      </c>
      <c r="D31" s="1">
        <f>RTD("rtdtrading.rtdserver",, "T&amp;T0", "QUL", 28)</f>
        <v>0</v>
      </c>
      <c r="E31" s="1" t="str">
        <f>RTD("rtdtrading.rtdserver",, "T&amp;T0", "AVD", 28)</f>
        <v>-</v>
      </c>
      <c r="F31" s="1" t="str">
        <f>RTD("rtdtrading.rtdserver",, "T&amp;T0", "AGR", 28)</f>
        <v>-</v>
      </c>
      <c r="G31" s="1" t="str">
        <f>RTD("rtdtrading.rtdserver",, "T&amp;T0", "AGAG", 28)</f>
        <v>-</v>
      </c>
    </row>
    <row r="32" spans="1:7" x14ac:dyDescent="0.25">
      <c r="A32" s="1" t="str">
        <f>RTD("rtdtrading.rtdserver",, "T&amp;T0", "DAT", 29)</f>
        <v>-</v>
      </c>
      <c r="B32" s="1" t="str">
        <f>RTD("rtdtrading.rtdserver",, "T&amp;T0", "ACP", 29)</f>
        <v>-</v>
      </c>
      <c r="C32" s="1">
        <f>RTD("rtdtrading.rtdserver",, "T&amp;T0", "PRE", 29)</f>
        <v>0</v>
      </c>
      <c r="D32" s="1">
        <f>RTD("rtdtrading.rtdserver",, "T&amp;T0", "QUL", 29)</f>
        <v>0</v>
      </c>
      <c r="E32" s="1" t="str">
        <f>RTD("rtdtrading.rtdserver",, "T&amp;T0", "AVD", 29)</f>
        <v>-</v>
      </c>
      <c r="F32" s="1" t="str">
        <f>RTD("rtdtrading.rtdserver",, "T&amp;T0", "AGR", 29)</f>
        <v>-</v>
      </c>
      <c r="G32" s="1" t="str">
        <f>RTD("rtdtrading.rtdserver",, "T&amp;T0", "AGAG", 29)</f>
        <v>-</v>
      </c>
    </row>
    <row r="33" spans="1:7" x14ac:dyDescent="0.25">
      <c r="A33" s="1" t="str">
        <f>RTD("rtdtrading.rtdserver",, "T&amp;T0", "DAT", 30)</f>
        <v>-</v>
      </c>
      <c r="B33" s="1" t="str">
        <f>RTD("rtdtrading.rtdserver",, "T&amp;T0", "ACP", 30)</f>
        <v>-</v>
      </c>
      <c r="C33" s="1">
        <f>RTD("rtdtrading.rtdserver",, "T&amp;T0", "PRE", 30)</f>
        <v>0</v>
      </c>
      <c r="D33" s="1">
        <f>RTD("rtdtrading.rtdserver",, "T&amp;T0", "QUL", 30)</f>
        <v>0</v>
      </c>
      <c r="E33" s="1" t="str">
        <f>RTD("rtdtrading.rtdserver",, "T&amp;T0", "AVD", 30)</f>
        <v>-</v>
      </c>
      <c r="F33" s="1" t="str">
        <f>RTD("rtdtrading.rtdserver",, "T&amp;T0", "AGR", 30)</f>
        <v>-</v>
      </c>
      <c r="G33" s="1" t="str">
        <f>RTD("rtdtrading.rtdserver",, "T&amp;T0", "AGAG", 30)</f>
        <v>-</v>
      </c>
    </row>
    <row r="34" spans="1:7" x14ac:dyDescent="0.25">
      <c r="A34" s="1" t="str">
        <f>RTD("rtdtrading.rtdserver",, "T&amp;T0", "DAT", 31)</f>
        <v>-</v>
      </c>
      <c r="B34" s="1" t="str">
        <f>RTD("rtdtrading.rtdserver",, "T&amp;T0", "ACP", 31)</f>
        <v>-</v>
      </c>
      <c r="C34" s="1">
        <f>RTD("rtdtrading.rtdserver",, "T&amp;T0", "PRE", 31)</f>
        <v>0</v>
      </c>
      <c r="D34" s="1">
        <f>RTD("rtdtrading.rtdserver",, "T&amp;T0", "QUL", 31)</f>
        <v>0</v>
      </c>
      <c r="E34" s="1" t="str">
        <f>RTD("rtdtrading.rtdserver",, "T&amp;T0", "AVD", 31)</f>
        <v>-</v>
      </c>
      <c r="F34" s="1" t="str">
        <f>RTD("rtdtrading.rtdserver",, "T&amp;T0", "AGR", 31)</f>
        <v>-</v>
      </c>
      <c r="G34" s="1" t="str">
        <f>RTD("rtdtrading.rtdserver",, "T&amp;T0", "AGAG", 31)</f>
        <v>-</v>
      </c>
    </row>
    <row r="35" spans="1:7" x14ac:dyDescent="0.25">
      <c r="A35" s="1" t="str">
        <f>RTD("rtdtrading.rtdserver",, "T&amp;T0", "DAT", 32)</f>
        <v>-</v>
      </c>
      <c r="B35" s="1" t="str">
        <f>RTD("rtdtrading.rtdserver",, "T&amp;T0", "ACP", 32)</f>
        <v>-</v>
      </c>
      <c r="C35" s="1">
        <f>RTD("rtdtrading.rtdserver",, "T&amp;T0", "PRE", 32)</f>
        <v>0</v>
      </c>
      <c r="D35" s="1">
        <f>RTD("rtdtrading.rtdserver",, "T&amp;T0", "QUL", 32)</f>
        <v>0</v>
      </c>
      <c r="E35" s="1" t="str">
        <f>RTD("rtdtrading.rtdserver",, "T&amp;T0", "AVD", 32)</f>
        <v>-</v>
      </c>
      <c r="F35" s="1" t="str">
        <f>RTD("rtdtrading.rtdserver",, "T&amp;T0", "AGR", 32)</f>
        <v>-</v>
      </c>
      <c r="G35" s="1" t="str">
        <f>RTD("rtdtrading.rtdserver",, "T&amp;T0", "AGAG", 32)</f>
        <v>-</v>
      </c>
    </row>
    <row r="36" spans="1:7" x14ac:dyDescent="0.25">
      <c r="A36" s="1" t="str">
        <f>RTD("rtdtrading.rtdserver",, "T&amp;T0", "DAT", 33)</f>
        <v>-</v>
      </c>
      <c r="B36" s="1" t="str">
        <f>RTD("rtdtrading.rtdserver",, "T&amp;T0", "ACP", 33)</f>
        <v>-</v>
      </c>
      <c r="C36" s="1">
        <f>RTD("rtdtrading.rtdserver",, "T&amp;T0", "PRE", 33)</f>
        <v>0</v>
      </c>
      <c r="D36" s="1">
        <f>RTD("rtdtrading.rtdserver",, "T&amp;T0", "QUL", 33)</f>
        <v>0</v>
      </c>
      <c r="E36" s="1" t="str">
        <f>RTD("rtdtrading.rtdserver",, "T&amp;T0", "AVD", 33)</f>
        <v>-</v>
      </c>
      <c r="F36" s="1" t="str">
        <f>RTD("rtdtrading.rtdserver",, "T&amp;T0", "AGR", 33)</f>
        <v>-</v>
      </c>
      <c r="G36" s="1" t="str">
        <f>RTD("rtdtrading.rtdserver",, "T&amp;T0", "AGAG", 33)</f>
        <v>-</v>
      </c>
    </row>
    <row r="37" spans="1:7" x14ac:dyDescent="0.25">
      <c r="A37" s="1" t="str">
        <f>RTD("rtdtrading.rtdserver",, "T&amp;T0", "DAT", 34)</f>
        <v>-</v>
      </c>
      <c r="B37" s="1" t="str">
        <f>RTD("rtdtrading.rtdserver",, "T&amp;T0", "ACP", 34)</f>
        <v>-</v>
      </c>
      <c r="C37" s="1">
        <f>RTD("rtdtrading.rtdserver",, "T&amp;T0", "PRE", 34)</f>
        <v>0</v>
      </c>
      <c r="D37" s="1">
        <f>RTD("rtdtrading.rtdserver",, "T&amp;T0", "QUL", 34)</f>
        <v>0</v>
      </c>
      <c r="E37" s="1" t="str">
        <f>RTD("rtdtrading.rtdserver",, "T&amp;T0", "AVD", 34)</f>
        <v>-</v>
      </c>
      <c r="F37" s="1" t="str">
        <f>RTD("rtdtrading.rtdserver",, "T&amp;T0", "AGR", 34)</f>
        <v>-</v>
      </c>
      <c r="G37" s="1" t="str">
        <f>RTD("rtdtrading.rtdserver",, "T&amp;T0", "AGAG", 34)</f>
        <v>-</v>
      </c>
    </row>
    <row r="38" spans="1:7" x14ac:dyDescent="0.25">
      <c r="A38" s="1" t="str">
        <f>RTD("rtdtrading.rtdserver",, "T&amp;T0", "DAT", 35)</f>
        <v>-</v>
      </c>
      <c r="B38" s="1" t="str">
        <f>RTD("rtdtrading.rtdserver",, "T&amp;T0", "ACP", 35)</f>
        <v>-</v>
      </c>
      <c r="C38" s="1">
        <f>RTD("rtdtrading.rtdserver",, "T&amp;T0", "PRE", 35)</f>
        <v>0</v>
      </c>
      <c r="D38" s="1">
        <f>RTD("rtdtrading.rtdserver",, "T&amp;T0", "QUL", 35)</f>
        <v>0</v>
      </c>
      <c r="E38" s="1" t="str">
        <f>RTD("rtdtrading.rtdserver",, "T&amp;T0", "AVD", 35)</f>
        <v>-</v>
      </c>
      <c r="F38" s="1" t="str">
        <f>RTD("rtdtrading.rtdserver",, "T&amp;T0", "AGR", 35)</f>
        <v>-</v>
      </c>
      <c r="G38" s="1" t="str">
        <f>RTD("rtdtrading.rtdserver",, "T&amp;T0", "AGAG", 35)</f>
        <v>-</v>
      </c>
    </row>
    <row r="39" spans="1:7" x14ac:dyDescent="0.25">
      <c r="A39" s="1" t="str">
        <f>RTD("rtdtrading.rtdserver",, "T&amp;T0", "DAT", 36)</f>
        <v>-</v>
      </c>
      <c r="B39" s="1" t="str">
        <f>RTD("rtdtrading.rtdserver",, "T&amp;T0", "ACP", 36)</f>
        <v>-</v>
      </c>
      <c r="C39" s="1">
        <f>RTD("rtdtrading.rtdserver",, "T&amp;T0", "PRE", 36)</f>
        <v>0</v>
      </c>
      <c r="D39" s="1">
        <f>RTD("rtdtrading.rtdserver",, "T&amp;T0", "QUL", 36)</f>
        <v>0</v>
      </c>
      <c r="E39" s="1" t="str">
        <f>RTD("rtdtrading.rtdserver",, "T&amp;T0", "AVD", 36)</f>
        <v>-</v>
      </c>
      <c r="F39" s="1" t="str">
        <f>RTD("rtdtrading.rtdserver",, "T&amp;T0", "AGR", 36)</f>
        <v>-</v>
      </c>
      <c r="G39" s="1" t="str">
        <f>RTD("rtdtrading.rtdserver",, "T&amp;T0", "AGAG", 36)</f>
        <v>-</v>
      </c>
    </row>
    <row r="40" spans="1:7" x14ac:dyDescent="0.25">
      <c r="A40" s="1" t="str">
        <f>RTD("rtdtrading.rtdserver",, "T&amp;T0", "DAT", 37)</f>
        <v>-</v>
      </c>
      <c r="B40" s="1" t="str">
        <f>RTD("rtdtrading.rtdserver",, "T&amp;T0", "ACP", 37)</f>
        <v>-</v>
      </c>
      <c r="C40" s="1">
        <f>RTD("rtdtrading.rtdserver",, "T&amp;T0", "PRE", 37)</f>
        <v>0</v>
      </c>
      <c r="D40" s="1">
        <f>RTD("rtdtrading.rtdserver",, "T&amp;T0", "QUL", 37)</f>
        <v>0</v>
      </c>
      <c r="E40" s="1" t="str">
        <f>RTD("rtdtrading.rtdserver",, "T&amp;T0", "AVD", 37)</f>
        <v>-</v>
      </c>
      <c r="F40" s="1" t="str">
        <f>RTD("rtdtrading.rtdserver",, "T&amp;T0", "AGR", 37)</f>
        <v>-</v>
      </c>
      <c r="G40" s="1" t="str">
        <f>RTD("rtdtrading.rtdserver",, "T&amp;T0", "AGAG", 37)</f>
        <v>-</v>
      </c>
    </row>
    <row r="41" spans="1:7" x14ac:dyDescent="0.25">
      <c r="A41" s="1" t="str">
        <f>RTD("rtdtrading.rtdserver",, "T&amp;T0", "DAT", 38)</f>
        <v>-</v>
      </c>
      <c r="B41" s="1" t="str">
        <f>RTD("rtdtrading.rtdserver",, "T&amp;T0", "ACP", 38)</f>
        <v>-</v>
      </c>
      <c r="C41" s="1">
        <f>RTD("rtdtrading.rtdserver",, "T&amp;T0", "PRE", 38)</f>
        <v>0</v>
      </c>
      <c r="D41" s="1">
        <f>RTD("rtdtrading.rtdserver",, "T&amp;T0", "QUL", 38)</f>
        <v>0</v>
      </c>
      <c r="E41" s="1" t="str">
        <f>RTD("rtdtrading.rtdserver",, "T&amp;T0", "AVD", 38)</f>
        <v>-</v>
      </c>
      <c r="F41" s="1" t="str">
        <f>RTD("rtdtrading.rtdserver",, "T&amp;T0", "AGR", 38)</f>
        <v>-</v>
      </c>
      <c r="G41" s="1" t="str">
        <f>RTD("rtdtrading.rtdserver",, "T&amp;T0", "AGAG", 38)</f>
        <v>-</v>
      </c>
    </row>
    <row r="42" spans="1:7" x14ac:dyDescent="0.25">
      <c r="A42" s="1" t="str">
        <f>RTD("rtdtrading.rtdserver",, "T&amp;T0", "DAT", 39)</f>
        <v>-</v>
      </c>
      <c r="B42" s="1" t="str">
        <f>RTD("rtdtrading.rtdserver",, "T&amp;T0", "ACP", 39)</f>
        <v>-</v>
      </c>
      <c r="C42" s="1">
        <f>RTD("rtdtrading.rtdserver",, "T&amp;T0", "PRE", 39)</f>
        <v>0</v>
      </c>
      <c r="D42" s="1">
        <f>RTD("rtdtrading.rtdserver",, "T&amp;T0", "QUL", 39)</f>
        <v>0</v>
      </c>
      <c r="E42" s="1" t="str">
        <f>RTD("rtdtrading.rtdserver",, "T&amp;T0", "AVD", 39)</f>
        <v>-</v>
      </c>
      <c r="F42" s="1" t="str">
        <f>RTD("rtdtrading.rtdserver",, "T&amp;T0", "AGR", 39)</f>
        <v>-</v>
      </c>
      <c r="G42" s="1" t="str">
        <f>RTD("rtdtrading.rtdserver",, "T&amp;T0", "AGAG", 39)</f>
        <v>-</v>
      </c>
    </row>
    <row r="43" spans="1:7" x14ac:dyDescent="0.25">
      <c r="A43" s="1" t="str">
        <f>RTD("rtdtrading.rtdserver",, "T&amp;T0", "DAT", 40)</f>
        <v>-</v>
      </c>
      <c r="B43" s="1" t="str">
        <f>RTD("rtdtrading.rtdserver",, "T&amp;T0", "ACP", 40)</f>
        <v>-</v>
      </c>
      <c r="C43" s="1">
        <f>RTD("rtdtrading.rtdserver",, "T&amp;T0", "PRE", 40)</f>
        <v>0</v>
      </c>
      <c r="D43" s="1">
        <f>RTD("rtdtrading.rtdserver",, "T&amp;T0", "QUL", 40)</f>
        <v>0</v>
      </c>
      <c r="E43" s="1" t="str">
        <f>RTD("rtdtrading.rtdserver",, "T&amp;T0", "AVD", 40)</f>
        <v>-</v>
      </c>
      <c r="F43" s="1" t="str">
        <f>RTD("rtdtrading.rtdserver",, "T&amp;T0", "AGR", 40)</f>
        <v>-</v>
      </c>
      <c r="G43" s="1" t="str">
        <f>RTD("rtdtrading.rtdserver",, "T&amp;T0", "AGAG", 40)</f>
        <v>-</v>
      </c>
    </row>
    <row r="44" spans="1:7" x14ac:dyDescent="0.25">
      <c r="A44" s="1" t="str">
        <f>RTD("rtdtrading.rtdserver",, "T&amp;T0", "DAT", 41)</f>
        <v>-</v>
      </c>
      <c r="B44" s="1" t="str">
        <f>RTD("rtdtrading.rtdserver",, "T&amp;T0", "ACP", 41)</f>
        <v>-</v>
      </c>
      <c r="C44" s="1">
        <f>RTD("rtdtrading.rtdserver",, "T&amp;T0", "PRE", 41)</f>
        <v>0</v>
      </c>
      <c r="D44" s="1">
        <f>RTD("rtdtrading.rtdserver",, "T&amp;T0", "QUL", 41)</f>
        <v>0</v>
      </c>
      <c r="E44" s="1" t="str">
        <f>RTD("rtdtrading.rtdserver",, "T&amp;T0", "AVD", 41)</f>
        <v>-</v>
      </c>
      <c r="F44" s="1" t="str">
        <f>RTD("rtdtrading.rtdserver",, "T&amp;T0", "AGR", 41)</f>
        <v>-</v>
      </c>
      <c r="G44" s="1" t="str">
        <f>RTD("rtdtrading.rtdserver",, "T&amp;T0", "AGAG", 41)</f>
        <v>-</v>
      </c>
    </row>
    <row r="45" spans="1:7" x14ac:dyDescent="0.25">
      <c r="A45" s="1" t="str">
        <f>RTD("rtdtrading.rtdserver",, "T&amp;T0", "DAT", 42)</f>
        <v>-</v>
      </c>
      <c r="B45" s="1" t="str">
        <f>RTD("rtdtrading.rtdserver",, "T&amp;T0", "ACP", 42)</f>
        <v>-</v>
      </c>
      <c r="C45" s="1">
        <f>RTD("rtdtrading.rtdserver",, "T&amp;T0", "PRE", 42)</f>
        <v>0</v>
      </c>
      <c r="D45" s="1">
        <f>RTD("rtdtrading.rtdserver",, "T&amp;T0", "QUL", 42)</f>
        <v>0</v>
      </c>
      <c r="E45" s="1" t="str">
        <f>RTD("rtdtrading.rtdserver",, "T&amp;T0", "AVD", 42)</f>
        <v>-</v>
      </c>
      <c r="F45" s="1" t="str">
        <f>RTD("rtdtrading.rtdserver",, "T&amp;T0", "AGR", 42)</f>
        <v>-</v>
      </c>
      <c r="G45" s="1" t="str">
        <f>RTD("rtdtrading.rtdserver",, "T&amp;T0", "AGAG", 42)</f>
        <v>-</v>
      </c>
    </row>
    <row r="46" spans="1:7" x14ac:dyDescent="0.25">
      <c r="A46" s="1" t="str">
        <f>RTD("rtdtrading.rtdserver",, "T&amp;T0", "DAT", 43)</f>
        <v>-</v>
      </c>
      <c r="B46" s="1" t="str">
        <f>RTD("rtdtrading.rtdserver",, "T&amp;T0", "ACP", 43)</f>
        <v>-</v>
      </c>
      <c r="C46" s="1">
        <f>RTD("rtdtrading.rtdserver",, "T&amp;T0", "PRE", 43)</f>
        <v>0</v>
      </c>
      <c r="D46" s="1">
        <f>RTD("rtdtrading.rtdserver",, "T&amp;T0", "QUL", 43)</f>
        <v>0</v>
      </c>
      <c r="E46" s="1" t="str">
        <f>RTD("rtdtrading.rtdserver",, "T&amp;T0", "AVD", 43)</f>
        <v>-</v>
      </c>
      <c r="F46" s="1" t="str">
        <f>RTD("rtdtrading.rtdserver",, "T&amp;T0", "AGR", 43)</f>
        <v>-</v>
      </c>
      <c r="G46" s="1" t="str">
        <f>RTD("rtdtrading.rtdserver",, "T&amp;T0", "AGAG", 43)</f>
        <v>-</v>
      </c>
    </row>
    <row r="47" spans="1:7" x14ac:dyDescent="0.25">
      <c r="A47" s="1" t="str">
        <f>RTD("rtdtrading.rtdserver",, "T&amp;T0", "DAT", 44)</f>
        <v>-</v>
      </c>
      <c r="B47" s="1" t="str">
        <f>RTD("rtdtrading.rtdserver",, "T&amp;T0", "ACP", 44)</f>
        <v>-</v>
      </c>
      <c r="C47" s="1">
        <f>RTD("rtdtrading.rtdserver",, "T&amp;T0", "PRE", 44)</f>
        <v>0</v>
      </c>
      <c r="D47" s="1">
        <f>RTD("rtdtrading.rtdserver",, "T&amp;T0", "QUL", 44)</f>
        <v>0</v>
      </c>
      <c r="E47" s="1" t="str">
        <f>RTD("rtdtrading.rtdserver",, "T&amp;T0", "AVD", 44)</f>
        <v>-</v>
      </c>
      <c r="F47" s="1" t="str">
        <f>RTD("rtdtrading.rtdserver",, "T&amp;T0", "AGR", 44)</f>
        <v>-</v>
      </c>
      <c r="G47" s="1" t="str">
        <f>RTD("rtdtrading.rtdserver",, "T&amp;T0", "AGAG", 44)</f>
        <v>-</v>
      </c>
    </row>
    <row r="48" spans="1:7" x14ac:dyDescent="0.25">
      <c r="A48" s="1" t="str">
        <f>RTD("rtdtrading.rtdserver",, "T&amp;T0", "DAT", 45)</f>
        <v>-</v>
      </c>
      <c r="B48" s="1" t="str">
        <f>RTD("rtdtrading.rtdserver",, "T&amp;T0", "ACP", 45)</f>
        <v>-</v>
      </c>
      <c r="C48" s="1">
        <f>RTD("rtdtrading.rtdserver",, "T&amp;T0", "PRE", 45)</f>
        <v>0</v>
      </c>
      <c r="D48" s="1">
        <f>RTD("rtdtrading.rtdserver",, "T&amp;T0", "QUL", 45)</f>
        <v>0</v>
      </c>
      <c r="E48" s="1" t="str">
        <f>RTD("rtdtrading.rtdserver",, "T&amp;T0", "AVD", 45)</f>
        <v>-</v>
      </c>
      <c r="F48" s="1" t="str">
        <f>RTD("rtdtrading.rtdserver",, "T&amp;T0", "AGR", 45)</f>
        <v>-</v>
      </c>
      <c r="G48" s="1" t="str">
        <f>RTD("rtdtrading.rtdserver",, "T&amp;T0", "AGAG", 45)</f>
        <v>-</v>
      </c>
    </row>
    <row r="49" spans="1:7" x14ac:dyDescent="0.25">
      <c r="A49" s="1" t="str">
        <f>RTD("rtdtrading.rtdserver",, "T&amp;T0", "DAT", 46)</f>
        <v>-</v>
      </c>
      <c r="B49" s="1" t="str">
        <f>RTD("rtdtrading.rtdserver",, "T&amp;T0", "ACP", 46)</f>
        <v>-</v>
      </c>
      <c r="C49" s="1">
        <f>RTD("rtdtrading.rtdserver",, "T&amp;T0", "PRE", 46)</f>
        <v>0</v>
      </c>
      <c r="D49" s="1">
        <f>RTD("rtdtrading.rtdserver",, "T&amp;T0", "QUL", 46)</f>
        <v>0</v>
      </c>
      <c r="E49" s="1" t="str">
        <f>RTD("rtdtrading.rtdserver",, "T&amp;T0", "AVD", 46)</f>
        <v>-</v>
      </c>
      <c r="F49" s="1" t="str">
        <f>RTD("rtdtrading.rtdserver",, "T&amp;T0", "AGR", 46)</f>
        <v>-</v>
      </c>
      <c r="G49" s="1" t="str">
        <f>RTD("rtdtrading.rtdserver",, "T&amp;T0", "AGAG", 46)</f>
        <v>-</v>
      </c>
    </row>
    <row r="50" spans="1:7" x14ac:dyDescent="0.25">
      <c r="A50" s="1" t="str">
        <f>RTD("rtdtrading.rtdserver",, "T&amp;T0", "DAT", 47)</f>
        <v>-</v>
      </c>
      <c r="B50" s="1" t="str">
        <f>RTD("rtdtrading.rtdserver",, "T&amp;T0", "ACP", 47)</f>
        <v>-</v>
      </c>
      <c r="C50" s="1">
        <f>RTD("rtdtrading.rtdserver",, "T&amp;T0", "PRE", 47)</f>
        <v>0</v>
      </c>
      <c r="D50" s="1">
        <f>RTD("rtdtrading.rtdserver",, "T&amp;T0", "QUL", 47)</f>
        <v>0</v>
      </c>
      <c r="E50" s="1" t="str">
        <f>RTD("rtdtrading.rtdserver",, "T&amp;T0", "AVD", 47)</f>
        <v>-</v>
      </c>
      <c r="F50" s="1" t="str">
        <f>RTD("rtdtrading.rtdserver",, "T&amp;T0", "AGR", 47)</f>
        <v>-</v>
      </c>
      <c r="G50" s="1" t="str">
        <f>RTD("rtdtrading.rtdserver",, "T&amp;T0", "AGAG", 47)</f>
        <v>-</v>
      </c>
    </row>
    <row r="51" spans="1:7" x14ac:dyDescent="0.25">
      <c r="A51" s="1" t="str">
        <f>RTD("rtdtrading.rtdserver",, "T&amp;T0", "DAT", 48)</f>
        <v>-</v>
      </c>
      <c r="B51" s="1" t="str">
        <f>RTD("rtdtrading.rtdserver",, "T&amp;T0", "ACP", 48)</f>
        <v>-</v>
      </c>
      <c r="C51" s="1">
        <f>RTD("rtdtrading.rtdserver",, "T&amp;T0", "PRE", 48)</f>
        <v>0</v>
      </c>
      <c r="D51" s="1">
        <f>RTD("rtdtrading.rtdserver",, "T&amp;T0", "QUL", 48)</f>
        <v>0</v>
      </c>
      <c r="E51" s="1" t="str">
        <f>RTD("rtdtrading.rtdserver",, "T&amp;T0", "AVD", 48)</f>
        <v>-</v>
      </c>
      <c r="F51" s="1" t="str">
        <f>RTD("rtdtrading.rtdserver",, "T&amp;T0", "AGR", 48)</f>
        <v>-</v>
      </c>
      <c r="G51" s="1" t="str">
        <f>RTD("rtdtrading.rtdserver",, "T&amp;T0", "AGAG", 48)</f>
        <v>-</v>
      </c>
    </row>
    <row r="52" spans="1:7" x14ac:dyDescent="0.25">
      <c r="A52" s="1" t="str">
        <f>RTD("rtdtrading.rtdserver",, "T&amp;T0", "DAT", 49)</f>
        <v>-</v>
      </c>
      <c r="B52" s="1" t="str">
        <f>RTD("rtdtrading.rtdserver",, "T&amp;T0", "ACP", 49)</f>
        <v>-</v>
      </c>
      <c r="C52" s="1">
        <f>RTD("rtdtrading.rtdserver",, "T&amp;T0", "PRE", 49)</f>
        <v>0</v>
      </c>
      <c r="D52" s="1">
        <f>RTD("rtdtrading.rtdserver",, "T&amp;T0", "QUL", 49)</f>
        <v>0</v>
      </c>
      <c r="E52" s="1" t="str">
        <f>RTD("rtdtrading.rtdserver",, "T&amp;T0", "AVD", 49)</f>
        <v>-</v>
      </c>
      <c r="F52" s="1" t="str">
        <f>RTD("rtdtrading.rtdserver",, "T&amp;T0", "AGR", 49)</f>
        <v>-</v>
      </c>
      <c r="G52" s="1" t="str">
        <f>RTD("rtdtrading.rtdserver",, "T&amp;T0", "AGAG", 49)</f>
        <v>-</v>
      </c>
    </row>
    <row r="53" spans="1:7" x14ac:dyDescent="0.25">
      <c r="A53" s="1" t="str">
        <f>RTD("rtdtrading.rtdserver",, "T&amp;T0", "DAT", 50)</f>
        <v>-</v>
      </c>
      <c r="B53" s="1" t="str">
        <f>RTD("rtdtrading.rtdserver",, "T&amp;T0", "ACP", 50)</f>
        <v>-</v>
      </c>
      <c r="C53" s="1">
        <f>RTD("rtdtrading.rtdserver",, "T&amp;T0", "PRE", 50)</f>
        <v>0</v>
      </c>
      <c r="D53" s="1">
        <f>RTD("rtdtrading.rtdserver",, "T&amp;T0", "QUL", 50)</f>
        <v>0</v>
      </c>
      <c r="E53" s="1" t="str">
        <f>RTD("rtdtrading.rtdserver",, "T&amp;T0", "AVD", 50)</f>
        <v>-</v>
      </c>
      <c r="F53" s="1" t="str">
        <f>RTD("rtdtrading.rtdserver",, "T&amp;T0", "AGR", 50)</f>
        <v>-</v>
      </c>
      <c r="G53" s="1" t="str">
        <f>RTD("rtdtrading.rtdserver",, "T&amp;T0", "AGAG", 50)</f>
        <v>-</v>
      </c>
    </row>
    <row r="54" spans="1:7" x14ac:dyDescent="0.25">
      <c r="A54" s="1" t="str">
        <f>RTD("rtdtrading.rtdserver",, "T&amp;T0", "DAT", 51)</f>
        <v>-</v>
      </c>
      <c r="B54" s="1" t="str">
        <f>RTD("rtdtrading.rtdserver",, "T&amp;T0", "ACP", 51)</f>
        <v>-</v>
      </c>
      <c r="C54" s="1">
        <f>RTD("rtdtrading.rtdserver",, "T&amp;T0", "PRE", 51)</f>
        <v>0</v>
      </c>
      <c r="D54" s="1">
        <f>RTD("rtdtrading.rtdserver",, "T&amp;T0", "QUL", 51)</f>
        <v>0</v>
      </c>
      <c r="E54" s="1" t="str">
        <f>RTD("rtdtrading.rtdserver",, "T&amp;T0", "AVD", 51)</f>
        <v>-</v>
      </c>
      <c r="F54" s="1" t="str">
        <f>RTD("rtdtrading.rtdserver",, "T&amp;T0", "AGR", 51)</f>
        <v>-</v>
      </c>
      <c r="G54" s="1" t="str">
        <f>RTD("rtdtrading.rtdserver",, "T&amp;T0", "AGAG", 51)</f>
        <v>-</v>
      </c>
    </row>
    <row r="55" spans="1:7" x14ac:dyDescent="0.25">
      <c r="A55" s="1" t="str">
        <f>RTD("rtdtrading.rtdserver",, "T&amp;T0", "DAT", 52)</f>
        <v>-</v>
      </c>
      <c r="B55" s="1" t="str">
        <f>RTD("rtdtrading.rtdserver",, "T&amp;T0", "ACP", 52)</f>
        <v>-</v>
      </c>
      <c r="C55" s="1">
        <f>RTD("rtdtrading.rtdserver",, "T&amp;T0", "PRE", 52)</f>
        <v>0</v>
      </c>
      <c r="D55" s="1">
        <f>RTD("rtdtrading.rtdserver",, "T&amp;T0", "QUL", 52)</f>
        <v>0</v>
      </c>
      <c r="E55" s="1" t="str">
        <f>RTD("rtdtrading.rtdserver",, "T&amp;T0", "AVD", 52)</f>
        <v>-</v>
      </c>
      <c r="F55" s="1" t="str">
        <f>RTD("rtdtrading.rtdserver",, "T&amp;T0", "AGR", 52)</f>
        <v>-</v>
      </c>
      <c r="G55" s="1" t="str">
        <f>RTD("rtdtrading.rtdserver",, "T&amp;T0", "AGAG", 52)</f>
        <v>-</v>
      </c>
    </row>
    <row r="56" spans="1:7" x14ac:dyDescent="0.25">
      <c r="A56" s="1" t="str">
        <f>RTD("rtdtrading.rtdserver",, "T&amp;T0", "DAT", 53)</f>
        <v>-</v>
      </c>
      <c r="B56" s="1" t="str">
        <f>RTD("rtdtrading.rtdserver",, "T&amp;T0", "ACP", 53)</f>
        <v>-</v>
      </c>
      <c r="C56" s="1">
        <f>RTD("rtdtrading.rtdserver",, "T&amp;T0", "PRE", 53)</f>
        <v>0</v>
      </c>
      <c r="D56" s="1">
        <f>RTD("rtdtrading.rtdserver",, "T&amp;T0", "QUL", 53)</f>
        <v>0</v>
      </c>
      <c r="E56" s="1" t="str">
        <f>RTD("rtdtrading.rtdserver",, "T&amp;T0", "AVD", 53)</f>
        <v>-</v>
      </c>
      <c r="F56" s="1" t="str">
        <f>RTD("rtdtrading.rtdserver",, "T&amp;T0", "AGR", 53)</f>
        <v>-</v>
      </c>
      <c r="G56" s="1" t="str">
        <f>RTD("rtdtrading.rtdserver",, "T&amp;T0", "AGAG", 53)</f>
        <v>-</v>
      </c>
    </row>
    <row r="57" spans="1:7" x14ac:dyDescent="0.25">
      <c r="A57" s="1" t="str">
        <f>RTD("rtdtrading.rtdserver",, "T&amp;T0", "DAT", 54)</f>
        <v>-</v>
      </c>
      <c r="B57" s="1" t="str">
        <f>RTD("rtdtrading.rtdserver",, "T&amp;T0", "ACP", 54)</f>
        <v>-</v>
      </c>
      <c r="C57" s="1">
        <f>RTD("rtdtrading.rtdserver",, "T&amp;T0", "PRE", 54)</f>
        <v>0</v>
      </c>
      <c r="D57" s="1">
        <f>RTD("rtdtrading.rtdserver",, "T&amp;T0", "QUL", 54)</f>
        <v>0</v>
      </c>
      <c r="E57" s="1" t="str">
        <f>RTD("rtdtrading.rtdserver",, "T&amp;T0", "AVD", 54)</f>
        <v>-</v>
      </c>
      <c r="F57" s="1" t="str">
        <f>RTD("rtdtrading.rtdserver",, "T&amp;T0", "AGR", 54)</f>
        <v>-</v>
      </c>
      <c r="G57" s="1" t="str">
        <f>RTD("rtdtrading.rtdserver",, "T&amp;T0", "AGAG", 54)</f>
        <v>-</v>
      </c>
    </row>
    <row r="58" spans="1:7" x14ac:dyDescent="0.25">
      <c r="A58" s="1" t="str">
        <f>RTD("rtdtrading.rtdserver",, "T&amp;T0", "DAT", 55)</f>
        <v>-</v>
      </c>
      <c r="B58" s="1" t="str">
        <f>RTD("rtdtrading.rtdserver",, "T&amp;T0", "ACP", 55)</f>
        <v>-</v>
      </c>
      <c r="C58" s="1">
        <f>RTD("rtdtrading.rtdserver",, "T&amp;T0", "PRE", 55)</f>
        <v>0</v>
      </c>
      <c r="D58" s="1">
        <f>RTD("rtdtrading.rtdserver",, "T&amp;T0", "QUL", 55)</f>
        <v>0</v>
      </c>
      <c r="E58" s="1" t="str">
        <f>RTD("rtdtrading.rtdserver",, "T&amp;T0", "AVD", 55)</f>
        <v>-</v>
      </c>
      <c r="F58" s="1" t="str">
        <f>RTD("rtdtrading.rtdserver",, "T&amp;T0", "AGR", 55)</f>
        <v>-</v>
      </c>
      <c r="G58" s="1" t="str">
        <f>RTD("rtdtrading.rtdserver",, "T&amp;T0", "AGAG", 55)</f>
        <v>-</v>
      </c>
    </row>
    <row r="59" spans="1:7" x14ac:dyDescent="0.25">
      <c r="A59" s="1" t="str">
        <f>RTD("rtdtrading.rtdserver",, "T&amp;T0", "DAT", 56)</f>
        <v>-</v>
      </c>
      <c r="B59" s="1" t="str">
        <f>RTD("rtdtrading.rtdserver",, "T&amp;T0", "ACP", 56)</f>
        <v>-</v>
      </c>
      <c r="C59" s="1">
        <f>RTD("rtdtrading.rtdserver",, "T&amp;T0", "PRE", 56)</f>
        <v>0</v>
      </c>
      <c r="D59" s="1">
        <f>RTD("rtdtrading.rtdserver",, "T&amp;T0", "QUL", 56)</f>
        <v>0</v>
      </c>
      <c r="E59" s="1" t="str">
        <f>RTD("rtdtrading.rtdserver",, "T&amp;T0", "AVD", 56)</f>
        <v>-</v>
      </c>
      <c r="F59" s="1" t="str">
        <f>RTD("rtdtrading.rtdserver",, "T&amp;T0", "AGR", 56)</f>
        <v>-</v>
      </c>
      <c r="G59" s="1" t="str">
        <f>RTD("rtdtrading.rtdserver",, "T&amp;T0", "AGAG", 56)</f>
        <v>-</v>
      </c>
    </row>
    <row r="60" spans="1:7" x14ac:dyDescent="0.25">
      <c r="A60" s="1" t="str">
        <f>RTD("rtdtrading.rtdserver",, "T&amp;T0", "DAT", 57)</f>
        <v>-</v>
      </c>
      <c r="B60" s="1" t="str">
        <f>RTD("rtdtrading.rtdserver",, "T&amp;T0", "ACP", 57)</f>
        <v>-</v>
      </c>
      <c r="C60" s="1">
        <f>RTD("rtdtrading.rtdserver",, "T&amp;T0", "PRE", 57)</f>
        <v>0</v>
      </c>
      <c r="D60" s="1">
        <f>RTD("rtdtrading.rtdserver",, "T&amp;T0", "QUL", 57)</f>
        <v>0</v>
      </c>
      <c r="E60" s="1" t="str">
        <f>RTD("rtdtrading.rtdserver",, "T&amp;T0", "AVD", 57)</f>
        <v>-</v>
      </c>
      <c r="F60" s="1" t="str">
        <f>RTD("rtdtrading.rtdserver",, "T&amp;T0", "AGR", 57)</f>
        <v>-</v>
      </c>
      <c r="G60" s="1" t="str">
        <f>RTD("rtdtrading.rtdserver",, "T&amp;T0", "AGAG", 57)</f>
        <v>-</v>
      </c>
    </row>
    <row r="61" spans="1:7" x14ac:dyDescent="0.25">
      <c r="A61" s="1" t="str">
        <f>RTD("rtdtrading.rtdserver",, "T&amp;T0", "DAT", 58)</f>
        <v>-</v>
      </c>
      <c r="B61" s="1" t="str">
        <f>RTD("rtdtrading.rtdserver",, "T&amp;T0", "ACP", 58)</f>
        <v>-</v>
      </c>
      <c r="C61" s="1">
        <f>RTD("rtdtrading.rtdserver",, "T&amp;T0", "PRE", 58)</f>
        <v>0</v>
      </c>
      <c r="D61" s="1">
        <f>RTD("rtdtrading.rtdserver",, "T&amp;T0", "QUL", 58)</f>
        <v>0</v>
      </c>
      <c r="E61" s="1" t="str">
        <f>RTD("rtdtrading.rtdserver",, "T&amp;T0", "AVD", 58)</f>
        <v>-</v>
      </c>
      <c r="F61" s="1" t="str">
        <f>RTD("rtdtrading.rtdserver",, "T&amp;T0", "AGR", 58)</f>
        <v>-</v>
      </c>
      <c r="G61" s="1" t="str">
        <f>RTD("rtdtrading.rtdserver",, "T&amp;T0", "AGAG", 58)</f>
        <v>-</v>
      </c>
    </row>
    <row r="62" spans="1:7" x14ac:dyDescent="0.25">
      <c r="A62" s="1" t="str">
        <f>RTD("rtdtrading.rtdserver",, "T&amp;T0", "DAT", 59)</f>
        <v>-</v>
      </c>
      <c r="B62" s="1" t="str">
        <f>RTD("rtdtrading.rtdserver",, "T&amp;T0", "ACP", 59)</f>
        <v>-</v>
      </c>
      <c r="C62" s="1">
        <f>RTD("rtdtrading.rtdserver",, "T&amp;T0", "PRE", 59)</f>
        <v>0</v>
      </c>
      <c r="D62" s="1">
        <f>RTD("rtdtrading.rtdserver",, "T&amp;T0", "QUL", 59)</f>
        <v>0</v>
      </c>
      <c r="E62" s="1" t="str">
        <f>RTD("rtdtrading.rtdserver",, "T&amp;T0", "AVD", 59)</f>
        <v>-</v>
      </c>
      <c r="F62" s="1" t="str">
        <f>RTD("rtdtrading.rtdserver",, "T&amp;T0", "AGR", 59)</f>
        <v>-</v>
      </c>
      <c r="G62" s="1" t="str">
        <f>RTD("rtdtrading.rtdserver",, "T&amp;T0", "AGAG", 59)</f>
        <v>-</v>
      </c>
    </row>
    <row r="63" spans="1:7" x14ac:dyDescent="0.25">
      <c r="A63" s="1" t="str">
        <f>RTD("rtdtrading.rtdserver",, "T&amp;T0", "DAT", 60)</f>
        <v>-</v>
      </c>
      <c r="B63" s="1" t="str">
        <f>RTD("rtdtrading.rtdserver",, "T&amp;T0", "ACP", 60)</f>
        <v>-</v>
      </c>
      <c r="C63" s="1">
        <f>RTD("rtdtrading.rtdserver",, "T&amp;T0", "PRE", 60)</f>
        <v>0</v>
      </c>
      <c r="D63" s="1">
        <f>RTD("rtdtrading.rtdserver",, "T&amp;T0", "QUL", 60)</f>
        <v>0</v>
      </c>
      <c r="E63" s="1" t="str">
        <f>RTD("rtdtrading.rtdserver",, "T&amp;T0", "AVD", 60)</f>
        <v>-</v>
      </c>
      <c r="F63" s="1" t="str">
        <f>RTD("rtdtrading.rtdserver",, "T&amp;T0", "AGR", 60)</f>
        <v>-</v>
      </c>
      <c r="G63" s="1" t="str">
        <f>RTD("rtdtrading.rtdserver",, "T&amp;T0", "AGAG", 60)</f>
        <v>-</v>
      </c>
    </row>
    <row r="64" spans="1:7" x14ac:dyDescent="0.25">
      <c r="A64" s="1" t="str">
        <f>RTD("rtdtrading.rtdserver",, "T&amp;T0", "DAT", 61)</f>
        <v>-</v>
      </c>
      <c r="B64" s="1" t="str">
        <f>RTD("rtdtrading.rtdserver",, "T&amp;T0", "ACP", 61)</f>
        <v>-</v>
      </c>
      <c r="C64" s="1">
        <f>RTD("rtdtrading.rtdserver",, "T&amp;T0", "PRE", 61)</f>
        <v>0</v>
      </c>
      <c r="D64" s="1">
        <f>RTD("rtdtrading.rtdserver",, "T&amp;T0", "QUL", 61)</f>
        <v>0</v>
      </c>
      <c r="E64" s="1" t="str">
        <f>RTD("rtdtrading.rtdserver",, "T&amp;T0", "AVD", 61)</f>
        <v>-</v>
      </c>
      <c r="F64" s="1" t="str">
        <f>RTD("rtdtrading.rtdserver",, "T&amp;T0", "AGR", 61)</f>
        <v>-</v>
      </c>
      <c r="G64" s="1" t="str">
        <f>RTD("rtdtrading.rtdserver",, "T&amp;T0", "AGAG", 61)</f>
        <v>-</v>
      </c>
    </row>
    <row r="65" spans="1:7" x14ac:dyDescent="0.25">
      <c r="A65" s="1" t="str">
        <f>RTD("rtdtrading.rtdserver",, "T&amp;T0", "DAT", 62)</f>
        <v>-</v>
      </c>
      <c r="B65" s="1" t="str">
        <f>RTD("rtdtrading.rtdserver",, "T&amp;T0", "ACP", 62)</f>
        <v>-</v>
      </c>
      <c r="C65" s="1">
        <f>RTD("rtdtrading.rtdserver",, "T&amp;T0", "PRE", 62)</f>
        <v>0</v>
      </c>
      <c r="D65" s="1">
        <f>RTD("rtdtrading.rtdserver",, "T&amp;T0", "QUL", 62)</f>
        <v>0</v>
      </c>
      <c r="E65" s="1" t="str">
        <f>RTD("rtdtrading.rtdserver",, "T&amp;T0", "AVD", 62)</f>
        <v>-</v>
      </c>
      <c r="F65" s="1" t="str">
        <f>RTD("rtdtrading.rtdserver",, "T&amp;T0", "AGR", 62)</f>
        <v>-</v>
      </c>
      <c r="G65" s="1" t="str">
        <f>RTD("rtdtrading.rtdserver",, "T&amp;T0", "AGAG", 62)</f>
        <v>-</v>
      </c>
    </row>
    <row r="66" spans="1:7" x14ac:dyDescent="0.25">
      <c r="A66" s="1" t="str">
        <f>RTD("rtdtrading.rtdserver",, "T&amp;T0", "DAT", 63)</f>
        <v>-</v>
      </c>
      <c r="B66" s="1" t="str">
        <f>RTD("rtdtrading.rtdserver",, "T&amp;T0", "ACP", 63)</f>
        <v>-</v>
      </c>
      <c r="C66" s="1">
        <f>RTD("rtdtrading.rtdserver",, "T&amp;T0", "PRE", 63)</f>
        <v>0</v>
      </c>
      <c r="D66" s="1">
        <f>RTD("rtdtrading.rtdserver",, "T&amp;T0", "QUL", 63)</f>
        <v>0</v>
      </c>
      <c r="E66" s="1" t="str">
        <f>RTD("rtdtrading.rtdserver",, "T&amp;T0", "AVD", 63)</f>
        <v>-</v>
      </c>
      <c r="F66" s="1" t="str">
        <f>RTD("rtdtrading.rtdserver",, "T&amp;T0", "AGR", 63)</f>
        <v>-</v>
      </c>
      <c r="G66" s="1" t="str">
        <f>RTD("rtdtrading.rtdserver",, "T&amp;T0", "AGAG", 63)</f>
        <v>-</v>
      </c>
    </row>
    <row r="67" spans="1:7" x14ac:dyDescent="0.25">
      <c r="A67" s="1" t="str">
        <f>RTD("rtdtrading.rtdserver",, "T&amp;T0", "DAT", 64)</f>
        <v>-</v>
      </c>
      <c r="B67" s="1" t="str">
        <f>RTD("rtdtrading.rtdserver",, "T&amp;T0", "ACP", 64)</f>
        <v>-</v>
      </c>
      <c r="C67" s="1">
        <f>RTD("rtdtrading.rtdserver",, "T&amp;T0", "PRE", 64)</f>
        <v>0</v>
      </c>
      <c r="D67" s="1">
        <f>RTD("rtdtrading.rtdserver",, "T&amp;T0", "QUL", 64)</f>
        <v>0</v>
      </c>
      <c r="E67" s="1" t="str">
        <f>RTD("rtdtrading.rtdserver",, "T&amp;T0", "AVD", 64)</f>
        <v>-</v>
      </c>
      <c r="F67" s="1" t="str">
        <f>RTD("rtdtrading.rtdserver",, "T&amp;T0", "AGR", 64)</f>
        <v>-</v>
      </c>
      <c r="G67" s="1" t="str">
        <f>RTD("rtdtrading.rtdserver",, "T&amp;T0", "AGAG", 64)</f>
        <v>-</v>
      </c>
    </row>
    <row r="68" spans="1:7" x14ac:dyDescent="0.25">
      <c r="A68" s="1" t="str">
        <f>RTD("rtdtrading.rtdserver",, "T&amp;T0", "DAT", 65)</f>
        <v>-</v>
      </c>
      <c r="B68" s="1" t="str">
        <f>RTD("rtdtrading.rtdserver",, "T&amp;T0", "ACP", 65)</f>
        <v>-</v>
      </c>
      <c r="C68" s="1">
        <f>RTD("rtdtrading.rtdserver",, "T&amp;T0", "PRE", 65)</f>
        <v>0</v>
      </c>
      <c r="D68" s="1">
        <f>RTD("rtdtrading.rtdserver",, "T&amp;T0", "QUL", 65)</f>
        <v>0</v>
      </c>
      <c r="E68" s="1" t="str">
        <f>RTD("rtdtrading.rtdserver",, "T&amp;T0", "AVD", 65)</f>
        <v>-</v>
      </c>
      <c r="F68" s="1" t="str">
        <f>RTD("rtdtrading.rtdserver",, "T&amp;T0", "AGR", 65)</f>
        <v>-</v>
      </c>
      <c r="G68" s="1" t="str">
        <f>RTD("rtdtrading.rtdserver",, "T&amp;T0", "AGAG", 65)</f>
        <v>-</v>
      </c>
    </row>
    <row r="69" spans="1:7" x14ac:dyDescent="0.25">
      <c r="A69" s="1" t="str">
        <f>RTD("rtdtrading.rtdserver",, "T&amp;T0", "DAT", 66)</f>
        <v>-</v>
      </c>
      <c r="B69" s="1" t="str">
        <f>RTD("rtdtrading.rtdserver",, "T&amp;T0", "ACP", 66)</f>
        <v>-</v>
      </c>
      <c r="C69" s="1">
        <f>RTD("rtdtrading.rtdserver",, "T&amp;T0", "PRE", 66)</f>
        <v>0</v>
      </c>
      <c r="D69" s="1">
        <f>RTD("rtdtrading.rtdserver",, "T&amp;T0", "QUL", 66)</f>
        <v>0</v>
      </c>
      <c r="E69" s="1" t="str">
        <f>RTD("rtdtrading.rtdserver",, "T&amp;T0", "AVD", 66)</f>
        <v>-</v>
      </c>
      <c r="F69" s="1" t="str">
        <f>RTD("rtdtrading.rtdserver",, "T&amp;T0", "AGR", 66)</f>
        <v>-</v>
      </c>
      <c r="G69" s="1" t="str">
        <f>RTD("rtdtrading.rtdserver",, "T&amp;T0", "AGAG", 66)</f>
        <v>-</v>
      </c>
    </row>
    <row r="70" spans="1:7" x14ac:dyDescent="0.25">
      <c r="A70" s="1" t="str">
        <f>RTD("rtdtrading.rtdserver",, "T&amp;T0", "DAT", 67)</f>
        <v>-</v>
      </c>
      <c r="B70" s="1" t="str">
        <f>RTD("rtdtrading.rtdserver",, "T&amp;T0", "ACP", 67)</f>
        <v>-</v>
      </c>
      <c r="C70" s="1">
        <f>RTD("rtdtrading.rtdserver",, "T&amp;T0", "PRE", 67)</f>
        <v>0</v>
      </c>
      <c r="D70" s="1">
        <f>RTD("rtdtrading.rtdserver",, "T&amp;T0", "QUL", 67)</f>
        <v>0</v>
      </c>
      <c r="E70" s="1" t="str">
        <f>RTD("rtdtrading.rtdserver",, "T&amp;T0", "AVD", 67)</f>
        <v>-</v>
      </c>
      <c r="F70" s="1" t="str">
        <f>RTD("rtdtrading.rtdserver",, "T&amp;T0", "AGR", 67)</f>
        <v>-</v>
      </c>
      <c r="G70" s="1" t="str">
        <f>RTD("rtdtrading.rtdserver",, "T&amp;T0", "AGAG", 67)</f>
        <v>-</v>
      </c>
    </row>
    <row r="71" spans="1:7" x14ac:dyDescent="0.25">
      <c r="A71" s="1" t="str">
        <f>RTD("rtdtrading.rtdserver",, "T&amp;T0", "DAT", 68)</f>
        <v>-</v>
      </c>
      <c r="B71" s="1" t="str">
        <f>RTD("rtdtrading.rtdserver",, "T&amp;T0", "ACP", 68)</f>
        <v>-</v>
      </c>
      <c r="C71" s="1">
        <f>RTD("rtdtrading.rtdserver",, "T&amp;T0", "PRE", 68)</f>
        <v>0</v>
      </c>
      <c r="D71" s="1">
        <f>RTD("rtdtrading.rtdserver",, "T&amp;T0", "QUL", 68)</f>
        <v>0</v>
      </c>
      <c r="E71" s="1" t="str">
        <f>RTD("rtdtrading.rtdserver",, "T&amp;T0", "AVD", 68)</f>
        <v>-</v>
      </c>
      <c r="F71" s="1" t="str">
        <f>RTD("rtdtrading.rtdserver",, "T&amp;T0", "AGR", 68)</f>
        <v>-</v>
      </c>
      <c r="G71" s="1" t="str">
        <f>RTD("rtdtrading.rtdserver",, "T&amp;T0", "AGAG", 68)</f>
        <v>-</v>
      </c>
    </row>
    <row r="72" spans="1:7" x14ac:dyDescent="0.25">
      <c r="A72" s="1" t="str">
        <f>RTD("rtdtrading.rtdserver",, "T&amp;T0", "DAT", 69)</f>
        <v>-</v>
      </c>
      <c r="B72" s="1" t="str">
        <f>RTD("rtdtrading.rtdserver",, "T&amp;T0", "ACP", 69)</f>
        <v>-</v>
      </c>
      <c r="C72" s="1">
        <f>RTD("rtdtrading.rtdserver",, "T&amp;T0", "PRE", 69)</f>
        <v>0</v>
      </c>
      <c r="D72" s="1">
        <f>RTD("rtdtrading.rtdserver",, "T&amp;T0", "QUL", 69)</f>
        <v>0</v>
      </c>
      <c r="E72" s="1" t="str">
        <f>RTD("rtdtrading.rtdserver",, "T&amp;T0", "AVD", 69)</f>
        <v>-</v>
      </c>
      <c r="F72" s="1" t="str">
        <f>RTD("rtdtrading.rtdserver",, "T&amp;T0", "AGR", 69)</f>
        <v>-</v>
      </c>
      <c r="G72" s="1" t="str">
        <f>RTD("rtdtrading.rtdserver",, "T&amp;T0", "AGAG", 69)</f>
        <v>-</v>
      </c>
    </row>
    <row r="73" spans="1:7" x14ac:dyDescent="0.25">
      <c r="A73" s="1" t="str">
        <f>RTD("rtdtrading.rtdserver",, "T&amp;T0", "DAT", 70)</f>
        <v>-</v>
      </c>
      <c r="B73" s="1" t="str">
        <f>RTD("rtdtrading.rtdserver",, "T&amp;T0", "ACP", 70)</f>
        <v>-</v>
      </c>
      <c r="C73" s="1">
        <f>RTD("rtdtrading.rtdserver",, "T&amp;T0", "PRE", 70)</f>
        <v>0</v>
      </c>
      <c r="D73" s="1">
        <f>RTD("rtdtrading.rtdserver",, "T&amp;T0", "QUL", 70)</f>
        <v>0</v>
      </c>
      <c r="E73" s="1" t="str">
        <f>RTD("rtdtrading.rtdserver",, "T&amp;T0", "AVD", 70)</f>
        <v>-</v>
      </c>
      <c r="F73" s="1" t="str">
        <f>RTD("rtdtrading.rtdserver",, "T&amp;T0", "AGR", 70)</f>
        <v>-</v>
      </c>
      <c r="G73" s="1" t="str">
        <f>RTD("rtdtrading.rtdserver",, "T&amp;T0", "AGAG", 70)</f>
        <v>-</v>
      </c>
    </row>
    <row r="74" spans="1:7" x14ac:dyDescent="0.25">
      <c r="A74" s="1" t="str">
        <f>RTD("rtdtrading.rtdserver",, "T&amp;T0", "DAT", 71)</f>
        <v>-</v>
      </c>
      <c r="B74" s="1" t="str">
        <f>RTD("rtdtrading.rtdserver",, "T&amp;T0", "ACP", 71)</f>
        <v>-</v>
      </c>
      <c r="C74" s="1">
        <f>RTD("rtdtrading.rtdserver",, "T&amp;T0", "PRE", 71)</f>
        <v>0</v>
      </c>
      <c r="D74" s="1">
        <f>RTD("rtdtrading.rtdserver",, "T&amp;T0", "QUL", 71)</f>
        <v>0</v>
      </c>
      <c r="E74" s="1" t="str">
        <f>RTD("rtdtrading.rtdserver",, "T&amp;T0", "AVD", 71)</f>
        <v>-</v>
      </c>
      <c r="F74" s="1" t="str">
        <f>RTD("rtdtrading.rtdserver",, "T&amp;T0", "AGR", 71)</f>
        <v>-</v>
      </c>
      <c r="G74" s="1" t="str">
        <f>RTD("rtdtrading.rtdserver",, "T&amp;T0", "AGAG", 71)</f>
        <v>-</v>
      </c>
    </row>
    <row r="75" spans="1:7" x14ac:dyDescent="0.25">
      <c r="A75" s="1" t="str">
        <f>RTD("rtdtrading.rtdserver",, "T&amp;T0", "DAT", 72)</f>
        <v>-</v>
      </c>
      <c r="B75" s="1" t="str">
        <f>RTD("rtdtrading.rtdserver",, "T&amp;T0", "ACP", 72)</f>
        <v>-</v>
      </c>
      <c r="C75" s="1">
        <f>RTD("rtdtrading.rtdserver",, "T&amp;T0", "PRE", 72)</f>
        <v>0</v>
      </c>
      <c r="D75" s="1">
        <f>RTD("rtdtrading.rtdserver",, "T&amp;T0", "QUL", 72)</f>
        <v>0</v>
      </c>
      <c r="E75" s="1" t="str">
        <f>RTD("rtdtrading.rtdserver",, "T&amp;T0", "AVD", 72)</f>
        <v>-</v>
      </c>
      <c r="F75" s="1" t="str">
        <f>RTD("rtdtrading.rtdserver",, "T&amp;T0", "AGR", 72)</f>
        <v>-</v>
      </c>
      <c r="G75" s="1" t="str">
        <f>RTD("rtdtrading.rtdserver",, "T&amp;T0", "AGAG", 72)</f>
        <v>-</v>
      </c>
    </row>
    <row r="76" spans="1:7" x14ac:dyDescent="0.25">
      <c r="A76" s="1" t="str">
        <f>RTD("rtdtrading.rtdserver",, "T&amp;T0", "DAT", 73)</f>
        <v>-</v>
      </c>
      <c r="B76" s="1" t="str">
        <f>RTD("rtdtrading.rtdserver",, "T&amp;T0", "ACP", 73)</f>
        <v>-</v>
      </c>
      <c r="C76" s="1">
        <f>RTD("rtdtrading.rtdserver",, "T&amp;T0", "PRE", 73)</f>
        <v>0</v>
      </c>
      <c r="D76" s="1">
        <f>RTD("rtdtrading.rtdserver",, "T&amp;T0", "QUL", 73)</f>
        <v>0</v>
      </c>
      <c r="E76" s="1" t="str">
        <f>RTD("rtdtrading.rtdserver",, "T&amp;T0", "AVD", 73)</f>
        <v>-</v>
      </c>
      <c r="F76" s="1" t="str">
        <f>RTD("rtdtrading.rtdserver",, "T&amp;T0", "AGR", 73)</f>
        <v>-</v>
      </c>
      <c r="G76" s="1" t="str">
        <f>RTD("rtdtrading.rtdserver",, "T&amp;T0", "AGAG", 73)</f>
        <v>-</v>
      </c>
    </row>
    <row r="77" spans="1:7" x14ac:dyDescent="0.25">
      <c r="A77" s="1" t="str">
        <f>RTD("rtdtrading.rtdserver",, "T&amp;T0", "DAT", 74)</f>
        <v>-</v>
      </c>
      <c r="B77" s="1" t="str">
        <f>RTD("rtdtrading.rtdserver",, "T&amp;T0", "ACP", 74)</f>
        <v>-</v>
      </c>
      <c r="C77" s="1">
        <f>RTD("rtdtrading.rtdserver",, "T&amp;T0", "PRE", 74)</f>
        <v>0</v>
      </c>
      <c r="D77" s="1">
        <f>RTD("rtdtrading.rtdserver",, "T&amp;T0", "QUL", 74)</f>
        <v>0</v>
      </c>
      <c r="E77" s="1" t="str">
        <f>RTD("rtdtrading.rtdserver",, "T&amp;T0", "AVD", 74)</f>
        <v>-</v>
      </c>
      <c r="F77" s="1" t="str">
        <f>RTD("rtdtrading.rtdserver",, "T&amp;T0", "AGR", 74)</f>
        <v>-</v>
      </c>
      <c r="G77" s="1" t="str">
        <f>RTD("rtdtrading.rtdserver",, "T&amp;T0", "AGAG", 74)</f>
        <v>-</v>
      </c>
    </row>
    <row r="78" spans="1:7" x14ac:dyDescent="0.25">
      <c r="A78" s="1" t="str">
        <f>RTD("rtdtrading.rtdserver",, "T&amp;T0", "DAT", 75)</f>
        <v>-</v>
      </c>
      <c r="B78" s="1" t="str">
        <f>RTD("rtdtrading.rtdserver",, "T&amp;T0", "ACP", 75)</f>
        <v>-</v>
      </c>
      <c r="C78" s="1">
        <f>RTD("rtdtrading.rtdserver",, "T&amp;T0", "PRE", 75)</f>
        <v>0</v>
      </c>
      <c r="D78" s="1">
        <f>RTD("rtdtrading.rtdserver",, "T&amp;T0", "QUL", 75)</f>
        <v>0</v>
      </c>
      <c r="E78" s="1" t="str">
        <f>RTD("rtdtrading.rtdserver",, "T&amp;T0", "AVD", 75)</f>
        <v>-</v>
      </c>
      <c r="F78" s="1" t="str">
        <f>RTD("rtdtrading.rtdserver",, "T&amp;T0", "AGR", 75)</f>
        <v>-</v>
      </c>
      <c r="G78" s="1" t="str">
        <f>RTD("rtdtrading.rtdserver",, "T&amp;T0", "AGAG", 75)</f>
        <v>-</v>
      </c>
    </row>
    <row r="79" spans="1:7" x14ac:dyDescent="0.25">
      <c r="A79" s="1" t="str">
        <f>RTD("rtdtrading.rtdserver",, "T&amp;T0", "DAT", 76)</f>
        <v>-</v>
      </c>
      <c r="B79" s="1" t="str">
        <f>RTD("rtdtrading.rtdserver",, "T&amp;T0", "ACP", 76)</f>
        <v>-</v>
      </c>
      <c r="C79" s="1">
        <f>RTD("rtdtrading.rtdserver",, "T&amp;T0", "PRE", 76)</f>
        <v>0</v>
      </c>
      <c r="D79" s="1">
        <f>RTD("rtdtrading.rtdserver",, "T&amp;T0", "QUL", 76)</f>
        <v>0</v>
      </c>
      <c r="E79" s="1" t="str">
        <f>RTD("rtdtrading.rtdserver",, "T&amp;T0", "AVD", 76)</f>
        <v>-</v>
      </c>
      <c r="F79" s="1" t="str">
        <f>RTD("rtdtrading.rtdserver",, "T&amp;T0", "AGR", 76)</f>
        <v>-</v>
      </c>
      <c r="G79" s="1" t="str">
        <f>RTD("rtdtrading.rtdserver",, "T&amp;T0", "AGAG", 76)</f>
        <v>-</v>
      </c>
    </row>
    <row r="80" spans="1:7" x14ac:dyDescent="0.25">
      <c r="A80" s="1" t="str">
        <f>RTD("rtdtrading.rtdserver",, "T&amp;T0", "DAT", 77)</f>
        <v>-</v>
      </c>
      <c r="B80" s="1" t="str">
        <f>RTD("rtdtrading.rtdserver",, "T&amp;T0", "ACP", 77)</f>
        <v>-</v>
      </c>
      <c r="C80" s="1">
        <f>RTD("rtdtrading.rtdserver",, "T&amp;T0", "PRE", 77)</f>
        <v>0</v>
      </c>
      <c r="D80" s="1">
        <f>RTD("rtdtrading.rtdserver",, "T&amp;T0", "QUL", 77)</f>
        <v>0</v>
      </c>
      <c r="E80" s="1" t="str">
        <f>RTD("rtdtrading.rtdserver",, "T&amp;T0", "AVD", 77)</f>
        <v>-</v>
      </c>
      <c r="F80" s="1" t="str">
        <f>RTD("rtdtrading.rtdserver",, "T&amp;T0", "AGR", 77)</f>
        <v>-</v>
      </c>
      <c r="G80" s="1" t="str">
        <f>RTD("rtdtrading.rtdserver",, "T&amp;T0", "AGAG", 77)</f>
        <v>-</v>
      </c>
    </row>
    <row r="81" spans="1:7" x14ac:dyDescent="0.25">
      <c r="A81" s="1" t="str">
        <f>RTD("rtdtrading.rtdserver",, "T&amp;T0", "DAT", 78)</f>
        <v>-</v>
      </c>
      <c r="B81" s="1" t="str">
        <f>RTD("rtdtrading.rtdserver",, "T&amp;T0", "ACP", 78)</f>
        <v>-</v>
      </c>
      <c r="C81" s="1">
        <f>RTD("rtdtrading.rtdserver",, "T&amp;T0", "PRE", 78)</f>
        <v>0</v>
      </c>
      <c r="D81" s="1">
        <f>RTD("rtdtrading.rtdserver",, "T&amp;T0", "QUL", 78)</f>
        <v>0</v>
      </c>
      <c r="E81" s="1" t="str">
        <f>RTD("rtdtrading.rtdserver",, "T&amp;T0", "AVD", 78)</f>
        <v>-</v>
      </c>
      <c r="F81" s="1" t="str">
        <f>RTD("rtdtrading.rtdserver",, "T&amp;T0", "AGR", 78)</f>
        <v>-</v>
      </c>
      <c r="G81" s="1" t="str">
        <f>RTD("rtdtrading.rtdserver",, "T&amp;T0", "AGAG", 78)</f>
        <v>-</v>
      </c>
    </row>
    <row r="82" spans="1:7" x14ac:dyDescent="0.25">
      <c r="A82" s="1" t="str">
        <f>RTD("rtdtrading.rtdserver",, "T&amp;T0", "DAT", 79)</f>
        <v>-</v>
      </c>
      <c r="B82" s="1" t="str">
        <f>RTD("rtdtrading.rtdserver",, "T&amp;T0", "ACP", 79)</f>
        <v>-</v>
      </c>
      <c r="C82" s="1">
        <f>RTD("rtdtrading.rtdserver",, "T&amp;T0", "PRE", 79)</f>
        <v>0</v>
      </c>
      <c r="D82" s="1">
        <f>RTD("rtdtrading.rtdserver",, "T&amp;T0", "QUL", 79)</f>
        <v>0</v>
      </c>
      <c r="E82" s="1" t="str">
        <f>RTD("rtdtrading.rtdserver",, "T&amp;T0", "AVD", 79)</f>
        <v>-</v>
      </c>
      <c r="F82" s="1" t="str">
        <f>RTD("rtdtrading.rtdserver",, "T&amp;T0", "AGR", 79)</f>
        <v>-</v>
      </c>
      <c r="G82" s="1" t="str">
        <f>RTD("rtdtrading.rtdserver",, "T&amp;T0", "AGAG", 79)</f>
        <v>-</v>
      </c>
    </row>
    <row r="83" spans="1:7" x14ac:dyDescent="0.25">
      <c r="A83" s="1" t="str">
        <f>RTD("rtdtrading.rtdserver",, "T&amp;T0", "DAT", 80)</f>
        <v>-</v>
      </c>
      <c r="B83" s="1" t="str">
        <f>RTD("rtdtrading.rtdserver",, "T&amp;T0", "ACP", 80)</f>
        <v>-</v>
      </c>
      <c r="C83" s="1">
        <f>RTD("rtdtrading.rtdserver",, "T&amp;T0", "PRE", 80)</f>
        <v>0</v>
      </c>
      <c r="D83" s="1">
        <f>RTD("rtdtrading.rtdserver",, "T&amp;T0", "QUL", 80)</f>
        <v>0</v>
      </c>
      <c r="E83" s="1" t="str">
        <f>RTD("rtdtrading.rtdserver",, "T&amp;T0", "AVD", 80)</f>
        <v>-</v>
      </c>
      <c r="F83" s="1" t="str">
        <f>RTD("rtdtrading.rtdserver",, "T&amp;T0", "AGR", 80)</f>
        <v>-</v>
      </c>
      <c r="G83" s="1" t="str">
        <f>RTD("rtdtrading.rtdserver",, "T&amp;T0", "AGAG", 80)</f>
        <v>-</v>
      </c>
    </row>
    <row r="84" spans="1:7" x14ac:dyDescent="0.25">
      <c r="A84" s="1" t="str">
        <f>RTD("rtdtrading.rtdserver",, "T&amp;T0", "DAT", 81)</f>
        <v>-</v>
      </c>
      <c r="B84" s="1" t="str">
        <f>RTD("rtdtrading.rtdserver",, "T&amp;T0", "ACP", 81)</f>
        <v>-</v>
      </c>
      <c r="C84" s="1">
        <f>RTD("rtdtrading.rtdserver",, "T&amp;T0", "PRE", 81)</f>
        <v>0</v>
      </c>
      <c r="D84" s="1">
        <f>RTD("rtdtrading.rtdserver",, "T&amp;T0", "QUL", 81)</f>
        <v>0</v>
      </c>
      <c r="E84" s="1" t="str">
        <f>RTD("rtdtrading.rtdserver",, "T&amp;T0", "AVD", 81)</f>
        <v>-</v>
      </c>
      <c r="F84" s="1" t="str">
        <f>RTD("rtdtrading.rtdserver",, "T&amp;T0", "AGR", 81)</f>
        <v>-</v>
      </c>
      <c r="G84" s="1" t="str">
        <f>RTD("rtdtrading.rtdserver",, "T&amp;T0", "AGAG", 81)</f>
        <v>-</v>
      </c>
    </row>
    <row r="85" spans="1:7" x14ac:dyDescent="0.25">
      <c r="A85" s="1" t="str">
        <f>RTD("rtdtrading.rtdserver",, "T&amp;T0", "DAT", 82)</f>
        <v>-</v>
      </c>
      <c r="B85" s="1" t="str">
        <f>RTD("rtdtrading.rtdserver",, "T&amp;T0", "ACP", 82)</f>
        <v>-</v>
      </c>
      <c r="C85" s="1">
        <f>RTD("rtdtrading.rtdserver",, "T&amp;T0", "PRE", 82)</f>
        <v>0</v>
      </c>
      <c r="D85" s="1">
        <f>RTD("rtdtrading.rtdserver",, "T&amp;T0", "QUL", 82)</f>
        <v>0</v>
      </c>
      <c r="E85" s="1" t="str">
        <f>RTD("rtdtrading.rtdserver",, "T&amp;T0", "AVD", 82)</f>
        <v>-</v>
      </c>
      <c r="F85" s="1" t="str">
        <f>RTD("rtdtrading.rtdserver",, "T&amp;T0", "AGR", 82)</f>
        <v>-</v>
      </c>
      <c r="G85" s="1" t="str">
        <f>RTD("rtdtrading.rtdserver",, "T&amp;T0", "AGAG", 82)</f>
        <v>-</v>
      </c>
    </row>
    <row r="86" spans="1:7" x14ac:dyDescent="0.25">
      <c r="A86" s="1" t="str">
        <f>RTD("rtdtrading.rtdserver",, "T&amp;T0", "DAT", 83)</f>
        <v>-</v>
      </c>
      <c r="B86" s="1" t="str">
        <f>RTD("rtdtrading.rtdserver",, "T&amp;T0", "ACP", 83)</f>
        <v>-</v>
      </c>
      <c r="C86" s="1">
        <f>RTD("rtdtrading.rtdserver",, "T&amp;T0", "PRE", 83)</f>
        <v>0</v>
      </c>
      <c r="D86" s="1">
        <f>RTD("rtdtrading.rtdserver",, "T&amp;T0", "QUL", 83)</f>
        <v>0</v>
      </c>
      <c r="E86" s="1" t="str">
        <f>RTD("rtdtrading.rtdserver",, "T&amp;T0", "AVD", 83)</f>
        <v>-</v>
      </c>
      <c r="F86" s="1" t="str">
        <f>RTD("rtdtrading.rtdserver",, "T&amp;T0", "AGR", 83)</f>
        <v>-</v>
      </c>
      <c r="G86" s="1" t="str">
        <f>RTD("rtdtrading.rtdserver",, "T&amp;T0", "AGAG", 83)</f>
        <v>-</v>
      </c>
    </row>
    <row r="87" spans="1:7" x14ac:dyDescent="0.25">
      <c r="A87" s="1" t="str">
        <f>RTD("rtdtrading.rtdserver",, "T&amp;T0", "DAT", 84)</f>
        <v>-</v>
      </c>
      <c r="B87" s="1" t="str">
        <f>RTD("rtdtrading.rtdserver",, "T&amp;T0", "ACP", 84)</f>
        <v>-</v>
      </c>
      <c r="C87" s="1">
        <f>RTD("rtdtrading.rtdserver",, "T&amp;T0", "PRE", 84)</f>
        <v>0</v>
      </c>
      <c r="D87" s="1">
        <f>RTD("rtdtrading.rtdserver",, "T&amp;T0", "QUL", 84)</f>
        <v>0</v>
      </c>
      <c r="E87" s="1" t="str">
        <f>RTD("rtdtrading.rtdserver",, "T&amp;T0", "AVD", 84)</f>
        <v>-</v>
      </c>
      <c r="F87" s="1" t="str">
        <f>RTD("rtdtrading.rtdserver",, "T&amp;T0", "AGR", 84)</f>
        <v>-</v>
      </c>
      <c r="G87" s="1" t="str">
        <f>RTD("rtdtrading.rtdserver",, "T&amp;T0", "AGAG", 84)</f>
        <v>-</v>
      </c>
    </row>
    <row r="88" spans="1:7" x14ac:dyDescent="0.25">
      <c r="A88" s="1" t="str">
        <f>RTD("rtdtrading.rtdserver",, "T&amp;T0", "DAT", 85)</f>
        <v>-</v>
      </c>
      <c r="B88" s="1" t="str">
        <f>RTD("rtdtrading.rtdserver",, "T&amp;T0", "ACP", 85)</f>
        <v>-</v>
      </c>
      <c r="C88" s="1">
        <f>RTD("rtdtrading.rtdserver",, "T&amp;T0", "PRE", 85)</f>
        <v>0</v>
      </c>
      <c r="D88" s="1">
        <f>RTD("rtdtrading.rtdserver",, "T&amp;T0", "QUL", 85)</f>
        <v>0</v>
      </c>
      <c r="E88" s="1" t="str">
        <f>RTD("rtdtrading.rtdserver",, "T&amp;T0", "AVD", 85)</f>
        <v>-</v>
      </c>
      <c r="F88" s="1" t="str">
        <f>RTD("rtdtrading.rtdserver",, "T&amp;T0", "AGR", 85)</f>
        <v>-</v>
      </c>
      <c r="G88" s="1" t="str">
        <f>RTD("rtdtrading.rtdserver",, "T&amp;T0", "AGAG", 85)</f>
        <v>-</v>
      </c>
    </row>
    <row r="89" spans="1:7" x14ac:dyDescent="0.25">
      <c r="A89" s="1" t="str">
        <f>RTD("rtdtrading.rtdserver",, "T&amp;T0", "DAT", 86)</f>
        <v>-</v>
      </c>
      <c r="B89" s="1" t="str">
        <f>RTD("rtdtrading.rtdserver",, "T&amp;T0", "ACP", 86)</f>
        <v>-</v>
      </c>
      <c r="C89" s="1">
        <f>RTD("rtdtrading.rtdserver",, "T&amp;T0", "PRE", 86)</f>
        <v>0</v>
      </c>
      <c r="D89" s="1">
        <f>RTD("rtdtrading.rtdserver",, "T&amp;T0", "QUL", 86)</f>
        <v>0</v>
      </c>
      <c r="E89" s="1" t="str">
        <f>RTD("rtdtrading.rtdserver",, "T&amp;T0", "AVD", 86)</f>
        <v>-</v>
      </c>
      <c r="F89" s="1" t="str">
        <f>RTD("rtdtrading.rtdserver",, "T&amp;T0", "AGR", 86)</f>
        <v>-</v>
      </c>
      <c r="G89" s="1" t="str">
        <f>RTD("rtdtrading.rtdserver",, "T&amp;T0", "AGAG", 86)</f>
        <v>-</v>
      </c>
    </row>
    <row r="90" spans="1:7" x14ac:dyDescent="0.25">
      <c r="A90" s="1" t="str">
        <f>RTD("rtdtrading.rtdserver",, "T&amp;T0", "DAT", 87)</f>
        <v>-</v>
      </c>
      <c r="B90" s="1" t="str">
        <f>RTD("rtdtrading.rtdserver",, "T&amp;T0", "ACP", 87)</f>
        <v>-</v>
      </c>
      <c r="C90" s="1">
        <f>RTD("rtdtrading.rtdserver",, "T&amp;T0", "PRE", 87)</f>
        <v>0</v>
      </c>
      <c r="D90" s="1">
        <f>RTD("rtdtrading.rtdserver",, "T&amp;T0", "QUL", 87)</f>
        <v>0</v>
      </c>
      <c r="E90" s="1" t="str">
        <f>RTD("rtdtrading.rtdserver",, "T&amp;T0", "AVD", 87)</f>
        <v>-</v>
      </c>
      <c r="F90" s="1" t="str">
        <f>RTD("rtdtrading.rtdserver",, "T&amp;T0", "AGR", 87)</f>
        <v>-</v>
      </c>
      <c r="G90" s="1" t="str">
        <f>RTD("rtdtrading.rtdserver",, "T&amp;T0", "AGAG", 87)</f>
        <v>-</v>
      </c>
    </row>
    <row r="91" spans="1:7" x14ac:dyDescent="0.25">
      <c r="A91" s="1" t="str">
        <f>RTD("rtdtrading.rtdserver",, "T&amp;T0", "DAT", 88)</f>
        <v>-</v>
      </c>
      <c r="B91" s="1" t="str">
        <f>RTD("rtdtrading.rtdserver",, "T&amp;T0", "ACP", 88)</f>
        <v>-</v>
      </c>
      <c r="C91" s="1">
        <f>RTD("rtdtrading.rtdserver",, "T&amp;T0", "PRE", 88)</f>
        <v>0</v>
      </c>
      <c r="D91" s="1">
        <f>RTD("rtdtrading.rtdserver",, "T&amp;T0", "QUL", 88)</f>
        <v>0</v>
      </c>
      <c r="E91" s="1" t="str">
        <f>RTD("rtdtrading.rtdserver",, "T&amp;T0", "AVD", 88)</f>
        <v>-</v>
      </c>
      <c r="F91" s="1" t="str">
        <f>RTD("rtdtrading.rtdserver",, "T&amp;T0", "AGR", 88)</f>
        <v>-</v>
      </c>
      <c r="G91" s="1" t="str">
        <f>RTD("rtdtrading.rtdserver",, "T&amp;T0", "AGAG", 88)</f>
        <v>-</v>
      </c>
    </row>
    <row r="92" spans="1:7" x14ac:dyDescent="0.25">
      <c r="A92" s="1" t="str">
        <f>RTD("rtdtrading.rtdserver",, "T&amp;T0", "DAT", 89)</f>
        <v>-</v>
      </c>
      <c r="B92" s="1" t="str">
        <f>RTD("rtdtrading.rtdserver",, "T&amp;T0", "ACP", 89)</f>
        <v>-</v>
      </c>
      <c r="C92" s="1">
        <f>RTD("rtdtrading.rtdserver",, "T&amp;T0", "PRE", 89)</f>
        <v>0</v>
      </c>
      <c r="D92" s="1">
        <f>RTD("rtdtrading.rtdserver",, "T&amp;T0", "QUL", 89)</f>
        <v>0</v>
      </c>
      <c r="E92" s="1" t="str">
        <f>RTD("rtdtrading.rtdserver",, "T&amp;T0", "AVD", 89)</f>
        <v>-</v>
      </c>
      <c r="F92" s="1" t="str">
        <f>RTD("rtdtrading.rtdserver",, "T&amp;T0", "AGR", 89)</f>
        <v>-</v>
      </c>
      <c r="G92" s="1" t="str">
        <f>RTD("rtdtrading.rtdserver",, "T&amp;T0", "AGAG", 89)</f>
        <v>-</v>
      </c>
    </row>
    <row r="93" spans="1:7" x14ac:dyDescent="0.25">
      <c r="A93" s="1" t="str">
        <f>RTD("rtdtrading.rtdserver",, "T&amp;T0", "DAT", 90)</f>
        <v>-</v>
      </c>
      <c r="B93" s="1" t="str">
        <f>RTD("rtdtrading.rtdserver",, "T&amp;T0", "ACP", 90)</f>
        <v>-</v>
      </c>
      <c r="C93" s="1">
        <f>RTD("rtdtrading.rtdserver",, "T&amp;T0", "PRE", 90)</f>
        <v>0</v>
      </c>
      <c r="D93" s="1">
        <f>RTD("rtdtrading.rtdserver",, "T&amp;T0", "QUL", 90)</f>
        <v>0</v>
      </c>
      <c r="E93" s="1" t="str">
        <f>RTD("rtdtrading.rtdserver",, "T&amp;T0", "AVD", 90)</f>
        <v>-</v>
      </c>
      <c r="F93" s="1" t="str">
        <f>RTD("rtdtrading.rtdserver",, "T&amp;T0", "AGR", 90)</f>
        <v>-</v>
      </c>
      <c r="G93" s="1" t="str">
        <f>RTD("rtdtrading.rtdserver",, "T&amp;T0", "AGAG", 90)</f>
        <v>-</v>
      </c>
    </row>
    <row r="94" spans="1:7" x14ac:dyDescent="0.25">
      <c r="A94" s="1" t="str">
        <f>RTD("rtdtrading.rtdserver",, "T&amp;T0", "DAT", 91)</f>
        <v>-</v>
      </c>
      <c r="B94" s="1" t="str">
        <f>RTD("rtdtrading.rtdserver",, "T&amp;T0", "ACP", 91)</f>
        <v>-</v>
      </c>
      <c r="C94" s="1">
        <f>RTD("rtdtrading.rtdserver",, "T&amp;T0", "PRE", 91)</f>
        <v>0</v>
      </c>
      <c r="D94" s="1">
        <f>RTD("rtdtrading.rtdserver",, "T&amp;T0", "QUL", 91)</f>
        <v>0</v>
      </c>
      <c r="E94" s="1" t="str">
        <f>RTD("rtdtrading.rtdserver",, "T&amp;T0", "AVD", 91)</f>
        <v>-</v>
      </c>
      <c r="F94" s="1" t="str">
        <f>RTD("rtdtrading.rtdserver",, "T&amp;T0", "AGR", 91)</f>
        <v>-</v>
      </c>
      <c r="G94" s="1" t="str">
        <f>RTD("rtdtrading.rtdserver",, "T&amp;T0", "AGAG", 91)</f>
        <v>-</v>
      </c>
    </row>
    <row r="95" spans="1:7" x14ac:dyDescent="0.25">
      <c r="A95" s="1" t="str">
        <f>RTD("rtdtrading.rtdserver",, "T&amp;T0", "DAT", 92)</f>
        <v>-</v>
      </c>
      <c r="B95" s="1" t="str">
        <f>RTD("rtdtrading.rtdserver",, "T&amp;T0", "ACP", 92)</f>
        <v>-</v>
      </c>
      <c r="C95" s="1">
        <f>RTD("rtdtrading.rtdserver",, "T&amp;T0", "PRE", 92)</f>
        <v>0</v>
      </c>
      <c r="D95" s="1">
        <f>RTD("rtdtrading.rtdserver",, "T&amp;T0", "QUL", 92)</f>
        <v>0</v>
      </c>
      <c r="E95" s="1" t="str">
        <f>RTD("rtdtrading.rtdserver",, "T&amp;T0", "AVD", 92)</f>
        <v>-</v>
      </c>
      <c r="F95" s="1" t="str">
        <f>RTD("rtdtrading.rtdserver",, "T&amp;T0", "AGR", 92)</f>
        <v>-</v>
      </c>
      <c r="G95" s="1" t="str">
        <f>RTD("rtdtrading.rtdserver",, "T&amp;T0", "AGAG", 92)</f>
        <v>-</v>
      </c>
    </row>
    <row r="96" spans="1:7" x14ac:dyDescent="0.25">
      <c r="A96" s="1" t="str">
        <f>RTD("rtdtrading.rtdserver",, "T&amp;T0", "DAT", 93)</f>
        <v>-</v>
      </c>
      <c r="B96" s="1" t="str">
        <f>RTD("rtdtrading.rtdserver",, "T&amp;T0", "ACP", 93)</f>
        <v>-</v>
      </c>
      <c r="C96" s="1">
        <f>RTD("rtdtrading.rtdserver",, "T&amp;T0", "PRE", 93)</f>
        <v>0</v>
      </c>
      <c r="D96" s="1">
        <f>RTD("rtdtrading.rtdserver",, "T&amp;T0", "QUL", 93)</f>
        <v>0</v>
      </c>
      <c r="E96" s="1" t="str">
        <f>RTD("rtdtrading.rtdserver",, "T&amp;T0", "AVD", 93)</f>
        <v>-</v>
      </c>
      <c r="F96" s="1" t="str">
        <f>RTD("rtdtrading.rtdserver",, "T&amp;T0", "AGR", 93)</f>
        <v>-</v>
      </c>
      <c r="G96" s="1" t="str">
        <f>RTD("rtdtrading.rtdserver",, "T&amp;T0", "AGAG", 93)</f>
        <v>-</v>
      </c>
    </row>
    <row r="97" spans="1:7" x14ac:dyDescent="0.25">
      <c r="A97" s="1" t="str">
        <f>RTD("rtdtrading.rtdserver",, "T&amp;T0", "DAT", 94)</f>
        <v>-</v>
      </c>
      <c r="B97" s="1" t="str">
        <f>RTD("rtdtrading.rtdserver",, "T&amp;T0", "ACP", 94)</f>
        <v>-</v>
      </c>
      <c r="C97" s="1">
        <f>RTD("rtdtrading.rtdserver",, "T&amp;T0", "PRE", 94)</f>
        <v>0</v>
      </c>
      <c r="D97" s="1">
        <f>RTD("rtdtrading.rtdserver",, "T&amp;T0", "QUL", 94)</f>
        <v>0</v>
      </c>
      <c r="E97" s="1" t="str">
        <f>RTD("rtdtrading.rtdserver",, "T&amp;T0", "AVD", 94)</f>
        <v>-</v>
      </c>
      <c r="F97" s="1" t="str">
        <f>RTD("rtdtrading.rtdserver",, "T&amp;T0", "AGR", 94)</f>
        <v>-</v>
      </c>
      <c r="G97" s="1" t="str">
        <f>RTD("rtdtrading.rtdserver",, "T&amp;T0", "AGAG", 94)</f>
        <v>-</v>
      </c>
    </row>
    <row r="98" spans="1:7" x14ac:dyDescent="0.25">
      <c r="A98" s="1" t="str">
        <f>RTD("rtdtrading.rtdserver",, "T&amp;T0", "DAT", 95)</f>
        <v>-</v>
      </c>
      <c r="B98" s="1" t="str">
        <f>RTD("rtdtrading.rtdserver",, "T&amp;T0", "ACP", 95)</f>
        <v>-</v>
      </c>
      <c r="C98" s="1">
        <f>RTD("rtdtrading.rtdserver",, "T&amp;T0", "PRE", 95)</f>
        <v>0</v>
      </c>
      <c r="D98" s="1">
        <f>RTD("rtdtrading.rtdserver",, "T&amp;T0", "QUL", 95)</f>
        <v>0</v>
      </c>
      <c r="E98" s="1" t="str">
        <f>RTD("rtdtrading.rtdserver",, "T&amp;T0", "AVD", 95)</f>
        <v>-</v>
      </c>
      <c r="F98" s="1" t="str">
        <f>RTD("rtdtrading.rtdserver",, "T&amp;T0", "AGR", 95)</f>
        <v>-</v>
      </c>
      <c r="G98" s="1" t="str">
        <f>RTD("rtdtrading.rtdserver",, "T&amp;T0", "AGAG", 95)</f>
        <v>-</v>
      </c>
    </row>
    <row r="99" spans="1:7" x14ac:dyDescent="0.25">
      <c r="A99" s="1" t="str">
        <f>RTD("rtdtrading.rtdserver",, "T&amp;T0", "DAT", 96)</f>
        <v>-</v>
      </c>
      <c r="B99" s="1" t="str">
        <f>RTD("rtdtrading.rtdserver",, "T&amp;T0", "ACP", 96)</f>
        <v>-</v>
      </c>
      <c r="C99" s="1">
        <f>RTD("rtdtrading.rtdserver",, "T&amp;T0", "PRE", 96)</f>
        <v>0</v>
      </c>
      <c r="D99" s="1">
        <f>RTD("rtdtrading.rtdserver",, "T&amp;T0", "QUL", 96)</f>
        <v>0</v>
      </c>
      <c r="E99" s="1" t="str">
        <f>RTD("rtdtrading.rtdserver",, "T&amp;T0", "AVD", 96)</f>
        <v>-</v>
      </c>
      <c r="F99" s="1" t="str">
        <f>RTD("rtdtrading.rtdserver",, "T&amp;T0", "AGR", 96)</f>
        <v>-</v>
      </c>
      <c r="G99" s="1" t="str">
        <f>RTD("rtdtrading.rtdserver",, "T&amp;T0", "AGAG", 96)</f>
        <v>-</v>
      </c>
    </row>
    <row r="100" spans="1:7" x14ac:dyDescent="0.25">
      <c r="A100" s="1" t="str">
        <f>RTD("rtdtrading.rtdserver",, "T&amp;T0", "DAT", 97)</f>
        <v>-</v>
      </c>
      <c r="B100" s="1" t="str">
        <f>RTD("rtdtrading.rtdserver",, "T&amp;T0", "ACP", 97)</f>
        <v>-</v>
      </c>
      <c r="C100" s="1">
        <f>RTD("rtdtrading.rtdserver",, "T&amp;T0", "PRE", 97)</f>
        <v>0</v>
      </c>
      <c r="D100" s="1">
        <f>RTD("rtdtrading.rtdserver",, "T&amp;T0", "QUL", 97)</f>
        <v>0</v>
      </c>
      <c r="E100" s="1" t="str">
        <f>RTD("rtdtrading.rtdserver",, "T&amp;T0", "AVD", 97)</f>
        <v>-</v>
      </c>
      <c r="F100" s="1" t="str">
        <f>RTD("rtdtrading.rtdserver",, "T&amp;T0", "AGR", 97)</f>
        <v>-</v>
      </c>
      <c r="G100" s="1" t="str">
        <f>RTD("rtdtrading.rtdserver",, "T&amp;T0", "AGAG", 97)</f>
        <v>-</v>
      </c>
    </row>
    <row r="101" spans="1:7" x14ac:dyDescent="0.25">
      <c r="A101" s="1" t="str">
        <f>RTD("rtdtrading.rtdserver",, "T&amp;T0", "DAT", 98)</f>
        <v>-</v>
      </c>
      <c r="B101" s="1" t="str">
        <f>RTD("rtdtrading.rtdserver",, "T&amp;T0", "ACP", 98)</f>
        <v>-</v>
      </c>
      <c r="C101" s="1">
        <f>RTD("rtdtrading.rtdserver",, "T&amp;T0", "PRE", 98)</f>
        <v>0</v>
      </c>
      <c r="D101" s="1">
        <f>RTD("rtdtrading.rtdserver",, "T&amp;T0", "QUL", 98)</f>
        <v>0</v>
      </c>
      <c r="E101" s="1" t="str">
        <f>RTD("rtdtrading.rtdserver",, "T&amp;T0", "AVD", 98)</f>
        <v>-</v>
      </c>
      <c r="F101" s="1" t="str">
        <f>RTD("rtdtrading.rtdserver",, "T&amp;T0", "AGR", 98)</f>
        <v>-</v>
      </c>
      <c r="G101" s="1" t="str">
        <f>RTD("rtdtrading.rtdserver",, "T&amp;T0", "AGAG", 98)</f>
        <v>-</v>
      </c>
    </row>
    <row r="102" spans="1:7" x14ac:dyDescent="0.25">
      <c r="A102" s="1" t="str">
        <f>RTD("rtdtrading.rtdserver",, "T&amp;T0", "DAT", 99)</f>
        <v>-</v>
      </c>
      <c r="B102" s="1" t="str">
        <f>RTD("rtdtrading.rtdserver",, "T&amp;T0", "ACP", 99)</f>
        <v>-</v>
      </c>
      <c r="C102" s="1">
        <f>RTD("rtdtrading.rtdserver",, "T&amp;T0", "PRE", 99)</f>
        <v>0</v>
      </c>
      <c r="D102" s="1">
        <f>RTD("rtdtrading.rtdserver",, "T&amp;T0", "QUL", 99)</f>
        <v>0</v>
      </c>
      <c r="E102" s="1" t="str">
        <f>RTD("rtdtrading.rtdserver",, "T&amp;T0", "AVD", 99)</f>
        <v>-</v>
      </c>
      <c r="F102" s="1" t="str">
        <f>RTD("rtdtrading.rtdserver",, "T&amp;T0", "AGR", 99)</f>
        <v>-</v>
      </c>
      <c r="G102" s="1" t="str">
        <f>RTD("rtdtrading.rtdserver",, "T&amp;T0", "AGAG", 99)</f>
        <v>-</v>
      </c>
    </row>
    <row r="103" spans="1:7" x14ac:dyDescent="0.25">
      <c r="A103" s="1" t="str">
        <f>RTD("rtdtrading.rtdserver",, "T&amp;T0", "DAT", 100)</f>
        <v>-</v>
      </c>
      <c r="B103" s="1" t="str">
        <f>RTD("rtdtrading.rtdserver",, "T&amp;T0", "ACP", 100)</f>
        <v>-</v>
      </c>
      <c r="C103" s="1">
        <f>RTD("rtdtrading.rtdserver",, "T&amp;T0", "PRE", 100)</f>
        <v>0</v>
      </c>
      <c r="D103" s="1">
        <f>RTD("rtdtrading.rtdserver",, "T&amp;T0", "QUL", 100)</f>
        <v>0</v>
      </c>
      <c r="E103" s="1" t="str">
        <f>RTD("rtdtrading.rtdserver",, "T&amp;T0", "AVD", 100)</f>
        <v>-</v>
      </c>
      <c r="F103" s="1" t="str">
        <f>RTD("rtdtrading.rtdserver",, "T&amp;T0", "AGR", 100)</f>
        <v>-</v>
      </c>
      <c r="G103" s="1" t="str">
        <f>RTD("rtdtrading.rtdserver",, "T&amp;T0", "AGAG", 100)</f>
        <v>-</v>
      </c>
    </row>
    <row r="104" spans="1:7" x14ac:dyDescent="0.25">
      <c r="A104" s="1" t="str">
        <f>RTD("rtdtrading.rtdserver",, "T&amp;T0", "DAT", 101)</f>
        <v>-</v>
      </c>
      <c r="B104" s="1" t="str">
        <f>RTD("rtdtrading.rtdserver",, "T&amp;T0", "ACP", 101)</f>
        <v>-</v>
      </c>
      <c r="C104" s="1">
        <f>RTD("rtdtrading.rtdserver",, "T&amp;T0", "PRE", 101)</f>
        <v>0</v>
      </c>
      <c r="D104" s="1">
        <f>RTD("rtdtrading.rtdserver",, "T&amp;T0", "QUL", 101)</f>
        <v>0</v>
      </c>
      <c r="E104" s="1" t="str">
        <f>RTD("rtdtrading.rtdserver",, "T&amp;T0", "AVD", 101)</f>
        <v>-</v>
      </c>
      <c r="F104" s="1" t="str">
        <f>RTD("rtdtrading.rtdserver",, "T&amp;T0", "AGR", 101)</f>
        <v>-</v>
      </c>
      <c r="G104" s="1" t="str">
        <f>RTD("rtdtrading.rtdserver",, "T&amp;T0", "AGAG", 101)</f>
        <v>-</v>
      </c>
    </row>
    <row r="105" spans="1:7" x14ac:dyDescent="0.25">
      <c r="A105" s="1" t="str">
        <f>RTD("rtdtrading.rtdserver",, "T&amp;T0", "DAT", 102)</f>
        <v>-</v>
      </c>
      <c r="B105" s="1" t="str">
        <f>RTD("rtdtrading.rtdserver",, "T&amp;T0", "ACP", 102)</f>
        <v>-</v>
      </c>
      <c r="C105" s="1">
        <f>RTD("rtdtrading.rtdserver",, "T&amp;T0", "PRE", 102)</f>
        <v>0</v>
      </c>
      <c r="D105" s="1">
        <f>RTD("rtdtrading.rtdserver",, "T&amp;T0", "QUL", 102)</f>
        <v>0</v>
      </c>
      <c r="E105" s="1" t="str">
        <f>RTD("rtdtrading.rtdserver",, "T&amp;T0", "AVD", 102)</f>
        <v>-</v>
      </c>
      <c r="F105" s="1" t="str">
        <f>RTD("rtdtrading.rtdserver",, "T&amp;T0", "AGR", 102)</f>
        <v>-</v>
      </c>
      <c r="G105" s="1" t="str">
        <f>RTD("rtdtrading.rtdserver",, "T&amp;T0", "AGAG", 102)</f>
        <v>-</v>
      </c>
    </row>
    <row r="106" spans="1:7" x14ac:dyDescent="0.25">
      <c r="A106" s="1" t="str">
        <f>RTD("rtdtrading.rtdserver",, "T&amp;T0", "DAT", 103)</f>
        <v>-</v>
      </c>
      <c r="B106" s="1" t="str">
        <f>RTD("rtdtrading.rtdserver",, "T&amp;T0", "ACP", 103)</f>
        <v>-</v>
      </c>
      <c r="C106" s="1">
        <f>RTD("rtdtrading.rtdserver",, "T&amp;T0", "PRE", 103)</f>
        <v>0</v>
      </c>
      <c r="D106" s="1">
        <f>RTD("rtdtrading.rtdserver",, "T&amp;T0", "QUL", 103)</f>
        <v>0</v>
      </c>
      <c r="E106" s="1" t="str">
        <f>RTD("rtdtrading.rtdserver",, "T&amp;T0", "AVD", 103)</f>
        <v>-</v>
      </c>
      <c r="F106" s="1" t="str">
        <f>RTD("rtdtrading.rtdserver",, "T&amp;T0", "AGR", 103)</f>
        <v>-</v>
      </c>
      <c r="G106" s="1" t="str">
        <f>RTD("rtdtrading.rtdserver",, "T&amp;T0", "AGAG", 103)</f>
        <v>-</v>
      </c>
    </row>
    <row r="107" spans="1:7" x14ac:dyDescent="0.25">
      <c r="A107" s="1" t="str">
        <f>RTD("rtdtrading.rtdserver",, "T&amp;T0", "DAT", 104)</f>
        <v>-</v>
      </c>
      <c r="B107" s="1" t="str">
        <f>RTD("rtdtrading.rtdserver",, "T&amp;T0", "ACP", 104)</f>
        <v>-</v>
      </c>
      <c r="C107" s="1">
        <f>RTD("rtdtrading.rtdserver",, "T&amp;T0", "PRE", 104)</f>
        <v>0</v>
      </c>
      <c r="D107" s="1">
        <f>RTD("rtdtrading.rtdserver",, "T&amp;T0", "QUL", 104)</f>
        <v>0</v>
      </c>
      <c r="E107" s="1" t="str">
        <f>RTD("rtdtrading.rtdserver",, "T&amp;T0", "AVD", 104)</f>
        <v>-</v>
      </c>
      <c r="F107" s="1" t="str">
        <f>RTD("rtdtrading.rtdserver",, "T&amp;T0", "AGR", 104)</f>
        <v>-</v>
      </c>
      <c r="G107" s="1" t="str">
        <f>RTD("rtdtrading.rtdserver",, "T&amp;T0", "AGAG", 104)</f>
        <v>-</v>
      </c>
    </row>
    <row r="108" spans="1:7" x14ac:dyDescent="0.25">
      <c r="A108" s="1" t="str">
        <f>RTD("rtdtrading.rtdserver",, "T&amp;T0", "DAT", 105)</f>
        <v>-</v>
      </c>
      <c r="B108" s="1" t="str">
        <f>RTD("rtdtrading.rtdserver",, "T&amp;T0", "ACP", 105)</f>
        <v>-</v>
      </c>
      <c r="C108" s="1">
        <f>RTD("rtdtrading.rtdserver",, "T&amp;T0", "PRE", 105)</f>
        <v>0</v>
      </c>
      <c r="D108" s="1">
        <f>RTD("rtdtrading.rtdserver",, "T&amp;T0", "QUL", 105)</f>
        <v>0</v>
      </c>
      <c r="E108" s="1" t="str">
        <f>RTD("rtdtrading.rtdserver",, "T&amp;T0", "AVD", 105)</f>
        <v>-</v>
      </c>
      <c r="F108" s="1" t="str">
        <f>RTD("rtdtrading.rtdserver",, "T&amp;T0", "AGR", 105)</f>
        <v>-</v>
      </c>
      <c r="G108" s="1" t="str">
        <f>RTD("rtdtrading.rtdserver",, "T&amp;T0", "AGAG", 105)</f>
        <v>-</v>
      </c>
    </row>
    <row r="109" spans="1:7" x14ac:dyDescent="0.25">
      <c r="A109" s="1" t="str">
        <f>RTD("rtdtrading.rtdserver",, "T&amp;T0", "DAT", 106)</f>
        <v>-</v>
      </c>
      <c r="B109" s="1" t="str">
        <f>RTD("rtdtrading.rtdserver",, "T&amp;T0", "ACP", 106)</f>
        <v>-</v>
      </c>
      <c r="C109" s="1">
        <f>RTD("rtdtrading.rtdserver",, "T&amp;T0", "PRE", 106)</f>
        <v>0</v>
      </c>
      <c r="D109" s="1">
        <f>RTD("rtdtrading.rtdserver",, "T&amp;T0", "QUL", 106)</f>
        <v>0</v>
      </c>
      <c r="E109" s="1" t="str">
        <f>RTD("rtdtrading.rtdserver",, "T&amp;T0", "AVD", 106)</f>
        <v>-</v>
      </c>
      <c r="F109" s="1" t="str">
        <f>RTD("rtdtrading.rtdserver",, "T&amp;T0", "AGR", 106)</f>
        <v>-</v>
      </c>
      <c r="G109" s="1" t="str">
        <f>RTD("rtdtrading.rtdserver",, "T&amp;T0", "AGAG", 106)</f>
        <v>-</v>
      </c>
    </row>
    <row r="110" spans="1:7" x14ac:dyDescent="0.25">
      <c r="A110" s="1" t="str">
        <f>RTD("rtdtrading.rtdserver",, "T&amp;T0", "DAT", 107)</f>
        <v>-</v>
      </c>
      <c r="B110" s="1" t="str">
        <f>RTD("rtdtrading.rtdserver",, "T&amp;T0", "ACP", 107)</f>
        <v>-</v>
      </c>
      <c r="C110" s="1">
        <f>RTD("rtdtrading.rtdserver",, "T&amp;T0", "PRE", 107)</f>
        <v>0</v>
      </c>
      <c r="D110" s="1">
        <f>RTD("rtdtrading.rtdserver",, "T&amp;T0", "QUL", 107)</f>
        <v>0</v>
      </c>
      <c r="E110" s="1" t="str">
        <f>RTD("rtdtrading.rtdserver",, "T&amp;T0", "AVD", 107)</f>
        <v>-</v>
      </c>
      <c r="F110" s="1" t="str">
        <f>RTD("rtdtrading.rtdserver",, "T&amp;T0", "AGR", 107)</f>
        <v>-</v>
      </c>
      <c r="G110" s="1" t="str">
        <f>RTD("rtdtrading.rtdserver",, "T&amp;T0", "AGAG", 107)</f>
        <v>-</v>
      </c>
    </row>
    <row r="111" spans="1:7" x14ac:dyDescent="0.25">
      <c r="A111" s="1" t="str">
        <f>RTD("rtdtrading.rtdserver",, "T&amp;T0", "DAT", 108)</f>
        <v>-</v>
      </c>
      <c r="B111" s="1" t="str">
        <f>RTD("rtdtrading.rtdserver",, "T&amp;T0", "ACP", 108)</f>
        <v>-</v>
      </c>
      <c r="C111" s="1">
        <f>RTD("rtdtrading.rtdserver",, "T&amp;T0", "PRE", 108)</f>
        <v>0</v>
      </c>
      <c r="D111" s="1">
        <f>RTD("rtdtrading.rtdserver",, "T&amp;T0", "QUL", 108)</f>
        <v>0</v>
      </c>
      <c r="E111" s="1" t="str">
        <f>RTD("rtdtrading.rtdserver",, "T&amp;T0", "AVD", 108)</f>
        <v>-</v>
      </c>
      <c r="F111" s="1" t="str">
        <f>RTD("rtdtrading.rtdserver",, "T&amp;T0", "AGR", 108)</f>
        <v>-</v>
      </c>
      <c r="G111" s="1" t="str">
        <f>RTD("rtdtrading.rtdserver",, "T&amp;T0", "AGAG", 108)</f>
        <v>-</v>
      </c>
    </row>
    <row r="112" spans="1:7" x14ac:dyDescent="0.25">
      <c r="A112" s="1" t="str">
        <f>RTD("rtdtrading.rtdserver",, "T&amp;T0", "DAT", 109)</f>
        <v>-</v>
      </c>
      <c r="B112" s="1" t="str">
        <f>RTD("rtdtrading.rtdserver",, "T&amp;T0", "ACP", 109)</f>
        <v>-</v>
      </c>
      <c r="C112" s="1">
        <f>RTD("rtdtrading.rtdserver",, "T&amp;T0", "PRE", 109)</f>
        <v>0</v>
      </c>
      <c r="D112" s="1">
        <f>RTD("rtdtrading.rtdserver",, "T&amp;T0", "QUL", 109)</f>
        <v>0</v>
      </c>
      <c r="E112" s="1" t="str">
        <f>RTD("rtdtrading.rtdserver",, "T&amp;T0", "AVD", 109)</f>
        <v>-</v>
      </c>
      <c r="F112" s="1" t="str">
        <f>RTD("rtdtrading.rtdserver",, "T&amp;T0", "AGR", 109)</f>
        <v>-</v>
      </c>
      <c r="G112" s="1" t="str">
        <f>RTD("rtdtrading.rtdserver",, "T&amp;T0", "AGAG", 109)</f>
        <v>-</v>
      </c>
    </row>
    <row r="113" spans="1:7" x14ac:dyDescent="0.25">
      <c r="A113" s="1" t="str">
        <f>RTD("rtdtrading.rtdserver",, "T&amp;T0", "DAT", 110)</f>
        <v>-</v>
      </c>
      <c r="B113" s="1" t="str">
        <f>RTD("rtdtrading.rtdserver",, "T&amp;T0", "ACP", 110)</f>
        <v>-</v>
      </c>
      <c r="C113" s="1">
        <f>RTD("rtdtrading.rtdserver",, "T&amp;T0", "PRE", 110)</f>
        <v>0</v>
      </c>
      <c r="D113" s="1">
        <f>RTD("rtdtrading.rtdserver",, "T&amp;T0", "QUL", 110)</f>
        <v>0</v>
      </c>
      <c r="E113" s="1" t="str">
        <f>RTD("rtdtrading.rtdserver",, "T&amp;T0", "AVD", 110)</f>
        <v>-</v>
      </c>
      <c r="F113" s="1" t="str">
        <f>RTD("rtdtrading.rtdserver",, "T&amp;T0", "AGR", 110)</f>
        <v>-</v>
      </c>
      <c r="G113" s="1" t="str">
        <f>RTD("rtdtrading.rtdserver",, "T&amp;T0", "AGAG", 110)</f>
        <v>-</v>
      </c>
    </row>
    <row r="114" spans="1:7" x14ac:dyDescent="0.25">
      <c r="A114" s="1" t="str">
        <f>RTD("rtdtrading.rtdserver",, "T&amp;T0", "DAT", 111)</f>
        <v>-</v>
      </c>
      <c r="B114" s="1" t="str">
        <f>RTD("rtdtrading.rtdserver",, "T&amp;T0", "ACP", 111)</f>
        <v>-</v>
      </c>
      <c r="C114" s="1">
        <f>RTD("rtdtrading.rtdserver",, "T&amp;T0", "PRE", 111)</f>
        <v>0</v>
      </c>
      <c r="D114" s="1">
        <f>RTD("rtdtrading.rtdserver",, "T&amp;T0", "QUL", 111)</f>
        <v>0</v>
      </c>
      <c r="E114" s="1" t="str">
        <f>RTD("rtdtrading.rtdserver",, "T&amp;T0", "AVD", 111)</f>
        <v>-</v>
      </c>
      <c r="F114" s="1" t="str">
        <f>RTD("rtdtrading.rtdserver",, "T&amp;T0", "AGR", 111)</f>
        <v>-</v>
      </c>
      <c r="G114" s="1" t="str">
        <f>RTD("rtdtrading.rtdserver",, "T&amp;T0", "AGAG", 111)</f>
        <v>-</v>
      </c>
    </row>
    <row r="115" spans="1:7" x14ac:dyDescent="0.25">
      <c r="A115" s="1" t="str">
        <f>RTD("rtdtrading.rtdserver",, "T&amp;T0", "DAT", 112)</f>
        <v>-</v>
      </c>
      <c r="B115" s="1" t="str">
        <f>RTD("rtdtrading.rtdserver",, "T&amp;T0", "ACP", 112)</f>
        <v>-</v>
      </c>
      <c r="C115" s="1">
        <f>RTD("rtdtrading.rtdserver",, "T&amp;T0", "PRE", 112)</f>
        <v>0</v>
      </c>
      <c r="D115" s="1">
        <f>RTD("rtdtrading.rtdserver",, "T&amp;T0", "QUL", 112)</f>
        <v>0</v>
      </c>
      <c r="E115" s="1" t="str">
        <f>RTD("rtdtrading.rtdserver",, "T&amp;T0", "AVD", 112)</f>
        <v>-</v>
      </c>
      <c r="F115" s="1" t="str">
        <f>RTD("rtdtrading.rtdserver",, "T&amp;T0", "AGR", 112)</f>
        <v>-</v>
      </c>
      <c r="G115" s="1" t="str">
        <f>RTD("rtdtrading.rtdserver",, "T&amp;T0", "AGAG", 112)</f>
        <v>-</v>
      </c>
    </row>
    <row r="116" spans="1:7" x14ac:dyDescent="0.25">
      <c r="A116" s="1" t="str">
        <f>RTD("rtdtrading.rtdserver",, "T&amp;T0", "DAT", 113)</f>
        <v>-</v>
      </c>
      <c r="B116" s="1" t="str">
        <f>RTD("rtdtrading.rtdserver",, "T&amp;T0", "ACP", 113)</f>
        <v>-</v>
      </c>
      <c r="C116" s="1">
        <f>RTD("rtdtrading.rtdserver",, "T&amp;T0", "PRE", 113)</f>
        <v>0</v>
      </c>
      <c r="D116" s="1">
        <f>RTD("rtdtrading.rtdserver",, "T&amp;T0", "QUL", 113)</f>
        <v>0</v>
      </c>
      <c r="E116" s="1" t="str">
        <f>RTD("rtdtrading.rtdserver",, "T&amp;T0", "AVD", 113)</f>
        <v>-</v>
      </c>
      <c r="F116" s="1" t="str">
        <f>RTD("rtdtrading.rtdserver",, "T&amp;T0", "AGR", 113)</f>
        <v>-</v>
      </c>
      <c r="G116" s="1" t="str">
        <f>RTD("rtdtrading.rtdserver",, "T&amp;T0", "AGAG", 113)</f>
        <v>-</v>
      </c>
    </row>
    <row r="117" spans="1:7" x14ac:dyDescent="0.25">
      <c r="A117" s="1" t="str">
        <f>RTD("rtdtrading.rtdserver",, "T&amp;T0", "DAT", 114)</f>
        <v>-</v>
      </c>
      <c r="B117" s="1" t="str">
        <f>RTD("rtdtrading.rtdserver",, "T&amp;T0", "ACP", 114)</f>
        <v>-</v>
      </c>
      <c r="C117" s="1">
        <f>RTD("rtdtrading.rtdserver",, "T&amp;T0", "PRE", 114)</f>
        <v>0</v>
      </c>
      <c r="D117" s="1">
        <f>RTD("rtdtrading.rtdserver",, "T&amp;T0", "QUL", 114)</f>
        <v>0</v>
      </c>
      <c r="E117" s="1" t="str">
        <f>RTD("rtdtrading.rtdserver",, "T&amp;T0", "AVD", 114)</f>
        <v>-</v>
      </c>
      <c r="F117" s="1" t="str">
        <f>RTD("rtdtrading.rtdserver",, "T&amp;T0", "AGR", 114)</f>
        <v>-</v>
      </c>
      <c r="G117" s="1" t="str">
        <f>RTD("rtdtrading.rtdserver",, "T&amp;T0", "AGAG", 114)</f>
        <v>-</v>
      </c>
    </row>
    <row r="118" spans="1:7" x14ac:dyDescent="0.25">
      <c r="A118" s="1" t="str">
        <f>RTD("rtdtrading.rtdserver",, "T&amp;T0", "DAT", 115)</f>
        <v>-</v>
      </c>
      <c r="B118" s="1" t="str">
        <f>RTD("rtdtrading.rtdserver",, "T&amp;T0", "ACP", 115)</f>
        <v>-</v>
      </c>
      <c r="C118" s="1">
        <f>RTD("rtdtrading.rtdserver",, "T&amp;T0", "PRE", 115)</f>
        <v>0</v>
      </c>
      <c r="D118" s="1">
        <f>RTD("rtdtrading.rtdserver",, "T&amp;T0", "QUL", 115)</f>
        <v>0</v>
      </c>
      <c r="E118" s="1" t="str">
        <f>RTD("rtdtrading.rtdserver",, "T&amp;T0", "AVD", 115)</f>
        <v>-</v>
      </c>
      <c r="F118" s="1" t="str">
        <f>RTD("rtdtrading.rtdserver",, "T&amp;T0", "AGR", 115)</f>
        <v>-</v>
      </c>
      <c r="G118" s="1" t="str">
        <f>RTD("rtdtrading.rtdserver",, "T&amp;T0", "AGAG", 115)</f>
        <v>-</v>
      </c>
    </row>
    <row r="119" spans="1:7" x14ac:dyDescent="0.25">
      <c r="A119" s="1" t="str">
        <f>RTD("rtdtrading.rtdserver",, "T&amp;T0", "DAT", 116)</f>
        <v>-</v>
      </c>
      <c r="B119" s="1" t="str">
        <f>RTD("rtdtrading.rtdserver",, "T&amp;T0", "ACP", 116)</f>
        <v>-</v>
      </c>
      <c r="C119" s="1">
        <f>RTD("rtdtrading.rtdserver",, "T&amp;T0", "PRE", 116)</f>
        <v>0</v>
      </c>
      <c r="D119" s="1">
        <f>RTD("rtdtrading.rtdserver",, "T&amp;T0", "QUL", 116)</f>
        <v>0</v>
      </c>
      <c r="E119" s="1" t="str">
        <f>RTD("rtdtrading.rtdserver",, "T&amp;T0", "AVD", 116)</f>
        <v>-</v>
      </c>
      <c r="F119" s="1" t="str">
        <f>RTD("rtdtrading.rtdserver",, "T&amp;T0", "AGR", 116)</f>
        <v>-</v>
      </c>
      <c r="G119" s="1" t="str">
        <f>RTD("rtdtrading.rtdserver",, "T&amp;T0", "AGAG", 116)</f>
        <v>-</v>
      </c>
    </row>
    <row r="120" spans="1:7" x14ac:dyDescent="0.25">
      <c r="A120" s="1" t="str">
        <f>RTD("rtdtrading.rtdserver",, "T&amp;T0", "DAT", 117)</f>
        <v>-</v>
      </c>
      <c r="B120" s="1" t="str">
        <f>RTD("rtdtrading.rtdserver",, "T&amp;T0", "ACP", 117)</f>
        <v>-</v>
      </c>
      <c r="C120" s="1">
        <f>RTD("rtdtrading.rtdserver",, "T&amp;T0", "PRE", 117)</f>
        <v>0</v>
      </c>
      <c r="D120" s="1">
        <f>RTD("rtdtrading.rtdserver",, "T&amp;T0", "QUL", 117)</f>
        <v>0</v>
      </c>
      <c r="E120" s="1" t="str">
        <f>RTD("rtdtrading.rtdserver",, "T&amp;T0", "AVD", 117)</f>
        <v>-</v>
      </c>
      <c r="F120" s="1" t="str">
        <f>RTD("rtdtrading.rtdserver",, "T&amp;T0", "AGR", 117)</f>
        <v>-</v>
      </c>
      <c r="G120" s="1" t="str">
        <f>RTD("rtdtrading.rtdserver",, "T&amp;T0", "AGAG", 117)</f>
        <v>-</v>
      </c>
    </row>
    <row r="121" spans="1:7" x14ac:dyDescent="0.25">
      <c r="A121" s="1" t="str">
        <f>RTD("rtdtrading.rtdserver",, "T&amp;T0", "DAT", 118)</f>
        <v>-</v>
      </c>
      <c r="B121" s="1" t="str">
        <f>RTD("rtdtrading.rtdserver",, "T&amp;T0", "ACP", 118)</f>
        <v>-</v>
      </c>
      <c r="C121" s="1">
        <f>RTD("rtdtrading.rtdserver",, "T&amp;T0", "PRE", 118)</f>
        <v>0</v>
      </c>
      <c r="D121" s="1">
        <f>RTD("rtdtrading.rtdserver",, "T&amp;T0", "QUL", 118)</f>
        <v>0</v>
      </c>
      <c r="E121" s="1" t="str">
        <f>RTD("rtdtrading.rtdserver",, "T&amp;T0", "AVD", 118)</f>
        <v>-</v>
      </c>
      <c r="F121" s="1" t="str">
        <f>RTD("rtdtrading.rtdserver",, "T&amp;T0", "AGR", 118)</f>
        <v>-</v>
      </c>
      <c r="G121" s="1" t="str">
        <f>RTD("rtdtrading.rtdserver",, "T&amp;T0", "AGAG", 118)</f>
        <v>-</v>
      </c>
    </row>
    <row r="122" spans="1:7" x14ac:dyDescent="0.25">
      <c r="A122" s="1" t="str">
        <f>RTD("rtdtrading.rtdserver",, "T&amp;T0", "DAT", 119)</f>
        <v>-</v>
      </c>
      <c r="B122" s="1" t="str">
        <f>RTD("rtdtrading.rtdserver",, "T&amp;T0", "ACP", 119)</f>
        <v>-</v>
      </c>
      <c r="C122" s="1">
        <f>RTD("rtdtrading.rtdserver",, "T&amp;T0", "PRE", 119)</f>
        <v>0</v>
      </c>
      <c r="D122" s="1">
        <f>RTD("rtdtrading.rtdserver",, "T&amp;T0", "QUL", 119)</f>
        <v>0</v>
      </c>
      <c r="E122" s="1" t="str">
        <f>RTD("rtdtrading.rtdserver",, "T&amp;T0", "AVD", 119)</f>
        <v>-</v>
      </c>
      <c r="F122" s="1" t="str">
        <f>RTD("rtdtrading.rtdserver",, "T&amp;T0", "AGR", 119)</f>
        <v>-</v>
      </c>
      <c r="G122" s="1" t="str">
        <f>RTD("rtdtrading.rtdserver",, "T&amp;T0", "AGAG", 119)</f>
        <v>-</v>
      </c>
    </row>
    <row r="123" spans="1:7" x14ac:dyDescent="0.25">
      <c r="A123" s="1" t="str">
        <f>RTD("rtdtrading.rtdserver",, "T&amp;T0", "DAT", 120)</f>
        <v>-</v>
      </c>
      <c r="B123" s="1" t="str">
        <f>RTD("rtdtrading.rtdserver",, "T&amp;T0", "ACP", 120)</f>
        <v>-</v>
      </c>
      <c r="C123" s="1">
        <f>RTD("rtdtrading.rtdserver",, "T&amp;T0", "PRE", 120)</f>
        <v>0</v>
      </c>
      <c r="D123" s="1">
        <f>RTD("rtdtrading.rtdserver",, "T&amp;T0", "QUL", 120)</f>
        <v>0</v>
      </c>
      <c r="E123" s="1" t="str">
        <f>RTD("rtdtrading.rtdserver",, "T&amp;T0", "AVD", 120)</f>
        <v>-</v>
      </c>
      <c r="F123" s="1" t="str">
        <f>RTD("rtdtrading.rtdserver",, "T&amp;T0", "AGR", 120)</f>
        <v>-</v>
      </c>
      <c r="G123" s="1" t="str">
        <f>RTD("rtdtrading.rtdserver",, "T&amp;T0", "AGAG", 120)</f>
        <v>-</v>
      </c>
    </row>
    <row r="124" spans="1:7" x14ac:dyDescent="0.25">
      <c r="A124" s="1" t="str">
        <f>RTD("rtdtrading.rtdserver",, "T&amp;T0", "DAT", 121)</f>
        <v>-</v>
      </c>
      <c r="B124" s="1" t="str">
        <f>RTD("rtdtrading.rtdserver",, "T&amp;T0", "ACP", 121)</f>
        <v>-</v>
      </c>
      <c r="C124" s="1">
        <f>RTD("rtdtrading.rtdserver",, "T&amp;T0", "PRE", 121)</f>
        <v>0</v>
      </c>
      <c r="D124" s="1">
        <f>RTD("rtdtrading.rtdserver",, "T&amp;T0", "QUL", 121)</f>
        <v>0</v>
      </c>
      <c r="E124" s="1" t="str">
        <f>RTD("rtdtrading.rtdserver",, "T&amp;T0", "AVD", 121)</f>
        <v>-</v>
      </c>
      <c r="F124" s="1" t="str">
        <f>RTD("rtdtrading.rtdserver",, "T&amp;T0", "AGR", 121)</f>
        <v>-</v>
      </c>
      <c r="G124" s="1" t="str">
        <f>RTD("rtdtrading.rtdserver",, "T&amp;T0", "AGAG", 121)</f>
        <v>-</v>
      </c>
    </row>
    <row r="125" spans="1:7" x14ac:dyDescent="0.25">
      <c r="A125" s="1" t="str">
        <f>RTD("rtdtrading.rtdserver",, "T&amp;T0", "DAT", 122)</f>
        <v>-</v>
      </c>
      <c r="B125" s="1" t="str">
        <f>RTD("rtdtrading.rtdserver",, "T&amp;T0", "ACP", 122)</f>
        <v>-</v>
      </c>
      <c r="C125" s="1">
        <f>RTD("rtdtrading.rtdserver",, "T&amp;T0", "PRE", 122)</f>
        <v>0</v>
      </c>
      <c r="D125" s="1">
        <f>RTD("rtdtrading.rtdserver",, "T&amp;T0", "QUL", 122)</f>
        <v>0</v>
      </c>
      <c r="E125" s="1" t="str">
        <f>RTD("rtdtrading.rtdserver",, "T&amp;T0", "AVD", 122)</f>
        <v>-</v>
      </c>
      <c r="F125" s="1" t="str">
        <f>RTD("rtdtrading.rtdserver",, "T&amp;T0", "AGR", 122)</f>
        <v>-</v>
      </c>
      <c r="G125" s="1" t="str">
        <f>RTD("rtdtrading.rtdserver",, "T&amp;T0", "AGAG", 122)</f>
        <v>-</v>
      </c>
    </row>
    <row r="126" spans="1:7" x14ac:dyDescent="0.25">
      <c r="A126" s="1" t="str">
        <f>RTD("rtdtrading.rtdserver",, "T&amp;T0", "DAT", 123)</f>
        <v>-</v>
      </c>
      <c r="B126" s="1" t="str">
        <f>RTD("rtdtrading.rtdserver",, "T&amp;T0", "ACP", 123)</f>
        <v>-</v>
      </c>
      <c r="C126" s="1">
        <f>RTD("rtdtrading.rtdserver",, "T&amp;T0", "PRE", 123)</f>
        <v>0</v>
      </c>
      <c r="D126" s="1">
        <f>RTD("rtdtrading.rtdserver",, "T&amp;T0", "QUL", 123)</f>
        <v>0</v>
      </c>
      <c r="E126" s="1" t="str">
        <f>RTD("rtdtrading.rtdserver",, "T&amp;T0", "AVD", 123)</f>
        <v>-</v>
      </c>
      <c r="F126" s="1" t="str">
        <f>RTD("rtdtrading.rtdserver",, "T&amp;T0", "AGR", 123)</f>
        <v>-</v>
      </c>
      <c r="G126" s="1" t="str">
        <f>RTD("rtdtrading.rtdserver",, "T&amp;T0", "AGAG", 123)</f>
        <v>-</v>
      </c>
    </row>
    <row r="127" spans="1:7" x14ac:dyDescent="0.25">
      <c r="A127" s="1" t="str">
        <f>RTD("rtdtrading.rtdserver",, "T&amp;T0", "DAT", 124)</f>
        <v>-</v>
      </c>
      <c r="B127" s="1" t="str">
        <f>RTD("rtdtrading.rtdserver",, "T&amp;T0", "ACP", 124)</f>
        <v>-</v>
      </c>
      <c r="C127" s="1">
        <f>RTD("rtdtrading.rtdserver",, "T&amp;T0", "PRE", 124)</f>
        <v>0</v>
      </c>
      <c r="D127" s="1">
        <f>RTD("rtdtrading.rtdserver",, "T&amp;T0", "QUL", 124)</f>
        <v>0</v>
      </c>
      <c r="E127" s="1" t="str">
        <f>RTD("rtdtrading.rtdserver",, "T&amp;T0", "AVD", 124)</f>
        <v>-</v>
      </c>
      <c r="F127" s="1" t="str">
        <f>RTD("rtdtrading.rtdserver",, "T&amp;T0", "AGR", 124)</f>
        <v>-</v>
      </c>
      <c r="G127" s="1" t="str">
        <f>RTD("rtdtrading.rtdserver",, "T&amp;T0", "AGAG", 124)</f>
        <v>-</v>
      </c>
    </row>
    <row r="128" spans="1:7" x14ac:dyDescent="0.25">
      <c r="A128" s="1" t="str">
        <f>RTD("rtdtrading.rtdserver",, "T&amp;T0", "DAT", 125)</f>
        <v>-</v>
      </c>
      <c r="B128" s="1" t="str">
        <f>RTD("rtdtrading.rtdserver",, "T&amp;T0", "ACP", 125)</f>
        <v>-</v>
      </c>
      <c r="C128" s="1">
        <f>RTD("rtdtrading.rtdserver",, "T&amp;T0", "PRE", 125)</f>
        <v>0</v>
      </c>
      <c r="D128" s="1">
        <f>RTD("rtdtrading.rtdserver",, "T&amp;T0", "QUL", 125)</f>
        <v>0</v>
      </c>
      <c r="E128" s="1" t="str">
        <f>RTD("rtdtrading.rtdserver",, "T&amp;T0", "AVD", 125)</f>
        <v>-</v>
      </c>
      <c r="F128" s="1" t="str">
        <f>RTD("rtdtrading.rtdserver",, "T&amp;T0", "AGR", 125)</f>
        <v>-</v>
      </c>
      <c r="G128" s="1" t="str">
        <f>RTD("rtdtrading.rtdserver",, "T&amp;T0", "AGAG", 125)</f>
        <v>-</v>
      </c>
    </row>
    <row r="129" spans="1:7" x14ac:dyDescent="0.25">
      <c r="A129" s="1" t="str">
        <f>RTD("rtdtrading.rtdserver",, "T&amp;T0", "DAT", 126)</f>
        <v>-</v>
      </c>
      <c r="B129" s="1" t="str">
        <f>RTD("rtdtrading.rtdserver",, "T&amp;T0", "ACP", 126)</f>
        <v>-</v>
      </c>
      <c r="C129" s="1">
        <f>RTD("rtdtrading.rtdserver",, "T&amp;T0", "PRE", 126)</f>
        <v>0</v>
      </c>
      <c r="D129" s="1">
        <f>RTD("rtdtrading.rtdserver",, "T&amp;T0", "QUL", 126)</f>
        <v>0</v>
      </c>
      <c r="E129" s="1" t="str">
        <f>RTD("rtdtrading.rtdserver",, "T&amp;T0", "AVD", 126)</f>
        <v>-</v>
      </c>
      <c r="F129" s="1" t="str">
        <f>RTD("rtdtrading.rtdserver",, "T&amp;T0", "AGR", 126)</f>
        <v>-</v>
      </c>
      <c r="G129" s="1" t="str">
        <f>RTD("rtdtrading.rtdserver",, "T&amp;T0", "AGAG", 126)</f>
        <v>-</v>
      </c>
    </row>
    <row r="130" spans="1:7" x14ac:dyDescent="0.25">
      <c r="A130" s="1" t="str">
        <f>RTD("rtdtrading.rtdserver",, "T&amp;T0", "DAT", 127)</f>
        <v>-</v>
      </c>
      <c r="B130" s="1" t="str">
        <f>RTD("rtdtrading.rtdserver",, "T&amp;T0", "ACP", 127)</f>
        <v>-</v>
      </c>
      <c r="C130" s="1">
        <f>RTD("rtdtrading.rtdserver",, "T&amp;T0", "PRE", 127)</f>
        <v>0</v>
      </c>
      <c r="D130" s="1">
        <f>RTD("rtdtrading.rtdserver",, "T&amp;T0", "QUL", 127)</f>
        <v>0</v>
      </c>
      <c r="E130" s="1" t="str">
        <f>RTD("rtdtrading.rtdserver",, "T&amp;T0", "AVD", 127)</f>
        <v>-</v>
      </c>
      <c r="F130" s="1" t="str">
        <f>RTD("rtdtrading.rtdserver",, "T&amp;T0", "AGR", 127)</f>
        <v>-</v>
      </c>
      <c r="G130" s="1" t="str">
        <f>RTD("rtdtrading.rtdserver",, "T&amp;T0", "AGAG", 127)</f>
        <v>-</v>
      </c>
    </row>
    <row r="131" spans="1:7" x14ac:dyDescent="0.25">
      <c r="A131" s="1" t="str">
        <f>RTD("rtdtrading.rtdserver",, "T&amp;T0", "DAT", 128)</f>
        <v>-</v>
      </c>
      <c r="B131" s="1" t="str">
        <f>RTD("rtdtrading.rtdserver",, "T&amp;T0", "ACP", 128)</f>
        <v>-</v>
      </c>
      <c r="C131" s="1">
        <f>RTD("rtdtrading.rtdserver",, "T&amp;T0", "PRE", 128)</f>
        <v>0</v>
      </c>
      <c r="D131" s="1">
        <f>RTD("rtdtrading.rtdserver",, "T&amp;T0", "QUL", 128)</f>
        <v>0</v>
      </c>
      <c r="E131" s="1" t="str">
        <f>RTD("rtdtrading.rtdserver",, "T&amp;T0", "AVD", 128)</f>
        <v>-</v>
      </c>
      <c r="F131" s="1" t="str">
        <f>RTD("rtdtrading.rtdserver",, "T&amp;T0", "AGR", 128)</f>
        <v>-</v>
      </c>
      <c r="G131" s="1" t="str">
        <f>RTD("rtdtrading.rtdserver",, "T&amp;T0", "AGAG", 128)</f>
        <v>-</v>
      </c>
    </row>
    <row r="132" spans="1:7" x14ac:dyDescent="0.25">
      <c r="A132" s="1" t="str">
        <f>RTD("rtdtrading.rtdserver",, "T&amp;T0", "DAT", 129)</f>
        <v>-</v>
      </c>
      <c r="B132" s="1" t="str">
        <f>RTD("rtdtrading.rtdserver",, "T&amp;T0", "ACP", 129)</f>
        <v>-</v>
      </c>
      <c r="C132" s="1">
        <f>RTD("rtdtrading.rtdserver",, "T&amp;T0", "PRE", 129)</f>
        <v>0</v>
      </c>
      <c r="D132" s="1">
        <f>RTD("rtdtrading.rtdserver",, "T&amp;T0", "QUL", 129)</f>
        <v>0</v>
      </c>
      <c r="E132" s="1" t="str">
        <f>RTD("rtdtrading.rtdserver",, "T&amp;T0", "AVD", 129)</f>
        <v>-</v>
      </c>
      <c r="F132" s="1" t="str">
        <f>RTD("rtdtrading.rtdserver",, "T&amp;T0", "AGR", 129)</f>
        <v>-</v>
      </c>
      <c r="G132" s="1" t="str">
        <f>RTD("rtdtrading.rtdserver",, "T&amp;T0", "AGAG", 129)</f>
        <v>-</v>
      </c>
    </row>
    <row r="133" spans="1:7" x14ac:dyDescent="0.25">
      <c r="A133" s="1" t="str">
        <f>RTD("rtdtrading.rtdserver",, "T&amp;T0", "DAT", 130)</f>
        <v>-</v>
      </c>
      <c r="B133" s="1" t="str">
        <f>RTD("rtdtrading.rtdserver",, "T&amp;T0", "ACP", 130)</f>
        <v>-</v>
      </c>
      <c r="C133" s="1">
        <f>RTD("rtdtrading.rtdserver",, "T&amp;T0", "PRE", 130)</f>
        <v>0</v>
      </c>
      <c r="D133" s="1">
        <f>RTD("rtdtrading.rtdserver",, "T&amp;T0", "QUL", 130)</f>
        <v>0</v>
      </c>
      <c r="E133" s="1" t="str">
        <f>RTD("rtdtrading.rtdserver",, "T&amp;T0", "AVD", 130)</f>
        <v>-</v>
      </c>
      <c r="F133" s="1" t="str">
        <f>RTD("rtdtrading.rtdserver",, "T&amp;T0", "AGR", 130)</f>
        <v>-</v>
      </c>
      <c r="G133" s="1" t="str">
        <f>RTD("rtdtrading.rtdserver",, "T&amp;T0", "AGAG", 130)</f>
        <v>-</v>
      </c>
    </row>
    <row r="134" spans="1:7" x14ac:dyDescent="0.25">
      <c r="A134" s="1" t="str">
        <f>RTD("rtdtrading.rtdserver",, "T&amp;T0", "DAT", 131)</f>
        <v>-</v>
      </c>
      <c r="B134" s="1" t="str">
        <f>RTD("rtdtrading.rtdserver",, "T&amp;T0", "ACP", 131)</f>
        <v>-</v>
      </c>
      <c r="C134" s="1">
        <f>RTD("rtdtrading.rtdserver",, "T&amp;T0", "PRE", 131)</f>
        <v>0</v>
      </c>
      <c r="D134" s="1">
        <f>RTD("rtdtrading.rtdserver",, "T&amp;T0", "QUL", 131)</f>
        <v>0</v>
      </c>
      <c r="E134" s="1" t="str">
        <f>RTD("rtdtrading.rtdserver",, "T&amp;T0", "AVD", 131)</f>
        <v>-</v>
      </c>
      <c r="F134" s="1" t="str">
        <f>RTD("rtdtrading.rtdserver",, "T&amp;T0", "AGR", 131)</f>
        <v>-</v>
      </c>
      <c r="G134" s="1" t="str">
        <f>RTD("rtdtrading.rtdserver",, "T&amp;T0", "AGAG", 131)</f>
        <v>-</v>
      </c>
    </row>
    <row r="135" spans="1:7" x14ac:dyDescent="0.25">
      <c r="A135" s="1" t="str">
        <f>RTD("rtdtrading.rtdserver",, "T&amp;T0", "DAT", 132)</f>
        <v>-</v>
      </c>
      <c r="B135" s="1" t="str">
        <f>RTD("rtdtrading.rtdserver",, "T&amp;T0", "ACP", 132)</f>
        <v>-</v>
      </c>
      <c r="C135" s="1">
        <f>RTD("rtdtrading.rtdserver",, "T&amp;T0", "PRE", 132)</f>
        <v>0</v>
      </c>
      <c r="D135" s="1">
        <f>RTD("rtdtrading.rtdserver",, "T&amp;T0", "QUL", 132)</f>
        <v>0</v>
      </c>
      <c r="E135" s="1" t="str">
        <f>RTD("rtdtrading.rtdserver",, "T&amp;T0", "AVD", 132)</f>
        <v>-</v>
      </c>
      <c r="F135" s="1" t="str">
        <f>RTD("rtdtrading.rtdserver",, "T&amp;T0", "AGR", 132)</f>
        <v>-</v>
      </c>
      <c r="G135" s="1" t="str">
        <f>RTD("rtdtrading.rtdserver",, "T&amp;T0", "AGAG", 132)</f>
        <v>-</v>
      </c>
    </row>
    <row r="136" spans="1:7" x14ac:dyDescent="0.25">
      <c r="A136" s="1" t="str">
        <f>RTD("rtdtrading.rtdserver",, "T&amp;T0", "DAT", 133)</f>
        <v>-</v>
      </c>
      <c r="B136" s="1" t="str">
        <f>RTD("rtdtrading.rtdserver",, "T&amp;T0", "ACP", 133)</f>
        <v>-</v>
      </c>
      <c r="C136" s="1">
        <f>RTD("rtdtrading.rtdserver",, "T&amp;T0", "PRE", 133)</f>
        <v>0</v>
      </c>
      <c r="D136" s="1">
        <f>RTD("rtdtrading.rtdserver",, "T&amp;T0", "QUL", 133)</f>
        <v>0</v>
      </c>
      <c r="E136" s="1" t="str">
        <f>RTD("rtdtrading.rtdserver",, "T&amp;T0", "AVD", 133)</f>
        <v>-</v>
      </c>
      <c r="F136" s="1" t="str">
        <f>RTD("rtdtrading.rtdserver",, "T&amp;T0", "AGR", 133)</f>
        <v>-</v>
      </c>
      <c r="G136" s="1" t="str">
        <f>RTD("rtdtrading.rtdserver",, "T&amp;T0", "AGAG", 133)</f>
        <v>-</v>
      </c>
    </row>
    <row r="137" spans="1:7" x14ac:dyDescent="0.25">
      <c r="A137" s="1" t="str">
        <f>RTD("rtdtrading.rtdserver",, "T&amp;T0", "DAT", 134)</f>
        <v>-</v>
      </c>
      <c r="B137" s="1" t="str">
        <f>RTD("rtdtrading.rtdserver",, "T&amp;T0", "ACP", 134)</f>
        <v>-</v>
      </c>
      <c r="C137" s="1">
        <f>RTD("rtdtrading.rtdserver",, "T&amp;T0", "PRE", 134)</f>
        <v>0</v>
      </c>
      <c r="D137" s="1">
        <f>RTD("rtdtrading.rtdserver",, "T&amp;T0", "QUL", 134)</f>
        <v>0</v>
      </c>
      <c r="E137" s="1" t="str">
        <f>RTD("rtdtrading.rtdserver",, "T&amp;T0", "AVD", 134)</f>
        <v>-</v>
      </c>
      <c r="F137" s="1" t="str">
        <f>RTD("rtdtrading.rtdserver",, "T&amp;T0", "AGR", 134)</f>
        <v>-</v>
      </c>
      <c r="G137" s="1" t="str">
        <f>RTD("rtdtrading.rtdserver",, "T&amp;T0", "AGAG", 134)</f>
        <v>-</v>
      </c>
    </row>
    <row r="138" spans="1:7" x14ac:dyDescent="0.25">
      <c r="A138" s="1" t="str">
        <f>RTD("rtdtrading.rtdserver",, "T&amp;T0", "DAT", 135)</f>
        <v>-</v>
      </c>
      <c r="B138" s="1" t="str">
        <f>RTD("rtdtrading.rtdserver",, "T&amp;T0", "ACP", 135)</f>
        <v>-</v>
      </c>
      <c r="C138" s="1">
        <f>RTD("rtdtrading.rtdserver",, "T&amp;T0", "PRE", 135)</f>
        <v>0</v>
      </c>
      <c r="D138" s="1">
        <f>RTD("rtdtrading.rtdserver",, "T&amp;T0", "QUL", 135)</f>
        <v>0</v>
      </c>
      <c r="E138" s="1" t="str">
        <f>RTD("rtdtrading.rtdserver",, "T&amp;T0", "AVD", 135)</f>
        <v>-</v>
      </c>
      <c r="F138" s="1" t="str">
        <f>RTD("rtdtrading.rtdserver",, "T&amp;T0", "AGR", 135)</f>
        <v>-</v>
      </c>
      <c r="G138" s="1" t="str">
        <f>RTD("rtdtrading.rtdserver",, "T&amp;T0", "AGAG", 135)</f>
        <v>-</v>
      </c>
    </row>
    <row r="139" spans="1:7" x14ac:dyDescent="0.25">
      <c r="A139" s="1" t="str">
        <f>RTD("rtdtrading.rtdserver",, "T&amp;T0", "DAT", 136)</f>
        <v>-</v>
      </c>
      <c r="B139" s="1" t="str">
        <f>RTD("rtdtrading.rtdserver",, "T&amp;T0", "ACP", 136)</f>
        <v>-</v>
      </c>
      <c r="C139" s="1">
        <f>RTD("rtdtrading.rtdserver",, "T&amp;T0", "PRE", 136)</f>
        <v>0</v>
      </c>
      <c r="D139" s="1">
        <f>RTD("rtdtrading.rtdserver",, "T&amp;T0", "QUL", 136)</f>
        <v>0</v>
      </c>
      <c r="E139" s="1" t="str">
        <f>RTD("rtdtrading.rtdserver",, "T&amp;T0", "AVD", 136)</f>
        <v>-</v>
      </c>
      <c r="F139" s="1" t="str">
        <f>RTD("rtdtrading.rtdserver",, "T&amp;T0", "AGR", 136)</f>
        <v>-</v>
      </c>
      <c r="G139" s="1" t="str">
        <f>RTD("rtdtrading.rtdserver",, "T&amp;T0", "AGAG", 136)</f>
        <v>-</v>
      </c>
    </row>
    <row r="140" spans="1:7" x14ac:dyDescent="0.25">
      <c r="A140" s="1" t="str">
        <f>RTD("rtdtrading.rtdserver",, "T&amp;T0", "DAT", 137)</f>
        <v>-</v>
      </c>
      <c r="B140" s="1" t="str">
        <f>RTD("rtdtrading.rtdserver",, "T&amp;T0", "ACP", 137)</f>
        <v>-</v>
      </c>
      <c r="C140" s="1">
        <f>RTD("rtdtrading.rtdserver",, "T&amp;T0", "PRE", 137)</f>
        <v>0</v>
      </c>
      <c r="D140" s="1">
        <f>RTD("rtdtrading.rtdserver",, "T&amp;T0", "QUL", 137)</f>
        <v>0</v>
      </c>
      <c r="E140" s="1" t="str">
        <f>RTD("rtdtrading.rtdserver",, "T&amp;T0", "AVD", 137)</f>
        <v>-</v>
      </c>
      <c r="F140" s="1" t="str">
        <f>RTD("rtdtrading.rtdserver",, "T&amp;T0", "AGR", 137)</f>
        <v>-</v>
      </c>
      <c r="G140" s="1" t="str">
        <f>RTD("rtdtrading.rtdserver",, "T&amp;T0", "AGAG", 137)</f>
        <v>-</v>
      </c>
    </row>
    <row r="141" spans="1:7" x14ac:dyDescent="0.25">
      <c r="A141" s="1" t="str">
        <f>RTD("rtdtrading.rtdserver",, "T&amp;T0", "DAT", 138)</f>
        <v>-</v>
      </c>
      <c r="B141" s="1" t="str">
        <f>RTD("rtdtrading.rtdserver",, "T&amp;T0", "ACP", 138)</f>
        <v>-</v>
      </c>
      <c r="C141" s="1">
        <f>RTD("rtdtrading.rtdserver",, "T&amp;T0", "PRE", 138)</f>
        <v>0</v>
      </c>
      <c r="D141" s="1">
        <f>RTD("rtdtrading.rtdserver",, "T&amp;T0", "QUL", 138)</f>
        <v>0</v>
      </c>
      <c r="E141" s="1" t="str">
        <f>RTD("rtdtrading.rtdserver",, "T&amp;T0", "AVD", 138)</f>
        <v>-</v>
      </c>
      <c r="F141" s="1" t="str">
        <f>RTD("rtdtrading.rtdserver",, "T&amp;T0", "AGR", 138)</f>
        <v>-</v>
      </c>
      <c r="G141" s="1" t="str">
        <f>RTD("rtdtrading.rtdserver",, "T&amp;T0", "AGAG", 138)</f>
        <v>-</v>
      </c>
    </row>
    <row r="142" spans="1:7" x14ac:dyDescent="0.25">
      <c r="A142" s="1" t="str">
        <f>RTD("rtdtrading.rtdserver",, "T&amp;T0", "DAT", 139)</f>
        <v>-</v>
      </c>
      <c r="B142" s="1" t="str">
        <f>RTD("rtdtrading.rtdserver",, "T&amp;T0", "ACP", 139)</f>
        <v>-</v>
      </c>
      <c r="C142" s="1">
        <f>RTD("rtdtrading.rtdserver",, "T&amp;T0", "PRE", 139)</f>
        <v>0</v>
      </c>
      <c r="D142" s="1">
        <f>RTD("rtdtrading.rtdserver",, "T&amp;T0", "QUL", 139)</f>
        <v>0</v>
      </c>
      <c r="E142" s="1" t="str">
        <f>RTD("rtdtrading.rtdserver",, "T&amp;T0", "AVD", 139)</f>
        <v>-</v>
      </c>
      <c r="F142" s="1" t="str">
        <f>RTD("rtdtrading.rtdserver",, "T&amp;T0", "AGR", 139)</f>
        <v>-</v>
      </c>
      <c r="G142" s="1" t="str">
        <f>RTD("rtdtrading.rtdserver",, "T&amp;T0", "AGAG", 139)</f>
        <v>-</v>
      </c>
    </row>
    <row r="143" spans="1:7" x14ac:dyDescent="0.25">
      <c r="A143" s="1" t="str">
        <f>RTD("rtdtrading.rtdserver",, "T&amp;T0", "DAT", 140)</f>
        <v>-</v>
      </c>
      <c r="B143" s="1" t="str">
        <f>RTD("rtdtrading.rtdserver",, "T&amp;T0", "ACP", 140)</f>
        <v>-</v>
      </c>
      <c r="C143" s="1">
        <f>RTD("rtdtrading.rtdserver",, "T&amp;T0", "PRE", 140)</f>
        <v>0</v>
      </c>
      <c r="D143" s="1">
        <f>RTD("rtdtrading.rtdserver",, "T&amp;T0", "QUL", 140)</f>
        <v>0</v>
      </c>
      <c r="E143" s="1" t="str">
        <f>RTD("rtdtrading.rtdserver",, "T&amp;T0", "AVD", 140)</f>
        <v>-</v>
      </c>
      <c r="F143" s="1" t="str">
        <f>RTD("rtdtrading.rtdserver",, "T&amp;T0", "AGR", 140)</f>
        <v>-</v>
      </c>
      <c r="G143" s="1" t="str">
        <f>RTD("rtdtrading.rtdserver",, "T&amp;T0", "AGAG", 140)</f>
        <v>-</v>
      </c>
    </row>
    <row r="144" spans="1:7" x14ac:dyDescent="0.25">
      <c r="A144" s="1" t="str">
        <f>RTD("rtdtrading.rtdserver",, "T&amp;T0", "DAT", 141)</f>
        <v>-</v>
      </c>
      <c r="B144" s="1" t="str">
        <f>RTD("rtdtrading.rtdserver",, "T&amp;T0", "ACP", 141)</f>
        <v>-</v>
      </c>
      <c r="C144" s="1">
        <f>RTD("rtdtrading.rtdserver",, "T&amp;T0", "PRE", 141)</f>
        <v>0</v>
      </c>
      <c r="D144" s="1">
        <f>RTD("rtdtrading.rtdserver",, "T&amp;T0", "QUL", 141)</f>
        <v>0</v>
      </c>
      <c r="E144" s="1" t="str">
        <f>RTD("rtdtrading.rtdserver",, "T&amp;T0", "AVD", 141)</f>
        <v>-</v>
      </c>
      <c r="F144" s="1" t="str">
        <f>RTD("rtdtrading.rtdserver",, "T&amp;T0", "AGR", 141)</f>
        <v>-</v>
      </c>
      <c r="G144" s="1" t="str">
        <f>RTD("rtdtrading.rtdserver",, "T&amp;T0", "AGAG", 141)</f>
        <v>-</v>
      </c>
    </row>
    <row r="145" spans="1:7" x14ac:dyDescent="0.25">
      <c r="A145" s="1" t="str">
        <f>RTD("rtdtrading.rtdserver",, "T&amp;T0", "DAT", 142)</f>
        <v>-</v>
      </c>
      <c r="B145" s="1" t="str">
        <f>RTD("rtdtrading.rtdserver",, "T&amp;T0", "ACP", 142)</f>
        <v>-</v>
      </c>
      <c r="C145" s="1">
        <f>RTD("rtdtrading.rtdserver",, "T&amp;T0", "PRE", 142)</f>
        <v>0</v>
      </c>
      <c r="D145" s="1">
        <f>RTD("rtdtrading.rtdserver",, "T&amp;T0", "QUL", 142)</f>
        <v>0</v>
      </c>
      <c r="E145" s="1" t="str">
        <f>RTD("rtdtrading.rtdserver",, "T&amp;T0", "AVD", 142)</f>
        <v>-</v>
      </c>
      <c r="F145" s="1" t="str">
        <f>RTD("rtdtrading.rtdserver",, "T&amp;T0", "AGR", 142)</f>
        <v>-</v>
      </c>
      <c r="G145" s="1" t="str">
        <f>RTD("rtdtrading.rtdserver",, "T&amp;T0", "AGAG", 142)</f>
        <v>-</v>
      </c>
    </row>
    <row r="146" spans="1:7" x14ac:dyDescent="0.25">
      <c r="A146" s="1" t="str">
        <f>RTD("rtdtrading.rtdserver",, "T&amp;T0", "DAT", 143)</f>
        <v>-</v>
      </c>
      <c r="B146" s="1" t="str">
        <f>RTD("rtdtrading.rtdserver",, "T&amp;T0", "ACP", 143)</f>
        <v>-</v>
      </c>
      <c r="C146" s="1">
        <f>RTD("rtdtrading.rtdserver",, "T&amp;T0", "PRE", 143)</f>
        <v>0</v>
      </c>
      <c r="D146" s="1">
        <f>RTD("rtdtrading.rtdserver",, "T&amp;T0", "QUL", 143)</f>
        <v>0</v>
      </c>
      <c r="E146" s="1" t="str">
        <f>RTD("rtdtrading.rtdserver",, "T&amp;T0", "AVD", 143)</f>
        <v>-</v>
      </c>
      <c r="F146" s="1" t="str">
        <f>RTD("rtdtrading.rtdserver",, "T&amp;T0", "AGR", 143)</f>
        <v>-</v>
      </c>
      <c r="G146" s="1" t="str">
        <f>RTD("rtdtrading.rtdserver",, "T&amp;T0", "AGAG", 143)</f>
        <v>-</v>
      </c>
    </row>
    <row r="147" spans="1:7" x14ac:dyDescent="0.25">
      <c r="A147" s="1" t="str">
        <f>RTD("rtdtrading.rtdserver",, "T&amp;T0", "DAT", 144)</f>
        <v>-</v>
      </c>
      <c r="B147" s="1" t="str">
        <f>RTD("rtdtrading.rtdserver",, "T&amp;T0", "ACP", 144)</f>
        <v>-</v>
      </c>
      <c r="C147" s="1">
        <f>RTD("rtdtrading.rtdserver",, "T&amp;T0", "PRE", 144)</f>
        <v>0</v>
      </c>
      <c r="D147" s="1">
        <f>RTD("rtdtrading.rtdserver",, "T&amp;T0", "QUL", 144)</f>
        <v>0</v>
      </c>
      <c r="E147" s="1" t="str">
        <f>RTD("rtdtrading.rtdserver",, "T&amp;T0", "AVD", 144)</f>
        <v>-</v>
      </c>
      <c r="F147" s="1" t="str">
        <f>RTD("rtdtrading.rtdserver",, "T&amp;T0", "AGR", 144)</f>
        <v>-</v>
      </c>
      <c r="G147" s="1" t="str">
        <f>RTD("rtdtrading.rtdserver",, "T&amp;T0", "AGAG", 144)</f>
        <v>-</v>
      </c>
    </row>
    <row r="148" spans="1:7" x14ac:dyDescent="0.25">
      <c r="A148" s="1" t="str">
        <f>RTD("rtdtrading.rtdserver",, "T&amp;T0", "DAT", 145)</f>
        <v>-</v>
      </c>
      <c r="B148" s="1" t="str">
        <f>RTD("rtdtrading.rtdserver",, "T&amp;T0", "ACP", 145)</f>
        <v>-</v>
      </c>
      <c r="C148" s="1">
        <f>RTD("rtdtrading.rtdserver",, "T&amp;T0", "PRE", 145)</f>
        <v>0</v>
      </c>
      <c r="D148" s="1">
        <f>RTD("rtdtrading.rtdserver",, "T&amp;T0", "QUL", 145)</f>
        <v>0</v>
      </c>
      <c r="E148" s="1" t="str">
        <f>RTD("rtdtrading.rtdserver",, "T&amp;T0", "AVD", 145)</f>
        <v>-</v>
      </c>
      <c r="F148" s="1" t="str">
        <f>RTD("rtdtrading.rtdserver",, "T&amp;T0", "AGR", 145)</f>
        <v>-</v>
      </c>
      <c r="G148" s="1" t="str">
        <f>RTD("rtdtrading.rtdserver",, "T&amp;T0", "AGAG", 145)</f>
        <v>-</v>
      </c>
    </row>
    <row r="149" spans="1:7" x14ac:dyDescent="0.25">
      <c r="A149" s="1" t="str">
        <f>RTD("rtdtrading.rtdserver",, "T&amp;T0", "DAT", 146)</f>
        <v>-</v>
      </c>
      <c r="B149" s="1" t="str">
        <f>RTD("rtdtrading.rtdserver",, "T&amp;T0", "ACP", 146)</f>
        <v>-</v>
      </c>
      <c r="C149" s="1">
        <f>RTD("rtdtrading.rtdserver",, "T&amp;T0", "PRE", 146)</f>
        <v>0</v>
      </c>
      <c r="D149" s="1">
        <f>RTD("rtdtrading.rtdserver",, "T&amp;T0", "QUL", 146)</f>
        <v>0</v>
      </c>
      <c r="E149" s="1" t="str">
        <f>RTD("rtdtrading.rtdserver",, "T&amp;T0", "AVD", 146)</f>
        <v>-</v>
      </c>
      <c r="F149" s="1" t="str">
        <f>RTD("rtdtrading.rtdserver",, "T&amp;T0", "AGR", 146)</f>
        <v>-</v>
      </c>
      <c r="G149" s="1" t="str">
        <f>RTD("rtdtrading.rtdserver",, "T&amp;T0", "AGAG", 146)</f>
        <v>-</v>
      </c>
    </row>
    <row r="150" spans="1:7" x14ac:dyDescent="0.25">
      <c r="A150" s="1" t="str">
        <f>RTD("rtdtrading.rtdserver",, "T&amp;T0", "DAT", 147)</f>
        <v>-</v>
      </c>
      <c r="B150" s="1" t="str">
        <f>RTD("rtdtrading.rtdserver",, "T&amp;T0", "ACP", 147)</f>
        <v>-</v>
      </c>
      <c r="C150" s="1">
        <f>RTD("rtdtrading.rtdserver",, "T&amp;T0", "PRE", 147)</f>
        <v>0</v>
      </c>
      <c r="D150" s="1">
        <f>RTD("rtdtrading.rtdserver",, "T&amp;T0", "QUL", 147)</f>
        <v>0</v>
      </c>
      <c r="E150" s="1" t="str">
        <f>RTD("rtdtrading.rtdserver",, "T&amp;T0", "AVD", 147)</f>
        <v>-</v>
      </c>
      <c r="F150" s="1" t="str">
        <f>RTD("rtdtrading.rtdserver",, "T&amp;T0", "AGR", 147)</f>
        <v>-</v>
      </c>
      <c r="G150" s="1" t="str">
        <f>RTD("rtdtrading.rtdserver",, "T&amp;T0", "AGAG", 147)</f>
        <v>-</v>
      </c>
    </row>
    <row r="151" spans="1:7" x14ac:dyDescent="0.25">
      <c r="A151" s="1" t="str">
        <f>RTD("rtdtrading.rtdserver",, "T&amp;T0", "DAT", 148)</f>
        <v>-</v>
      </c>
      <c r="B151" s="1" t="str">
        <f>RTD("rtdtrading.rtdserver",, "T&amp;T0", "ACP", 148)</f>
        <v>-</v>
      </c>
      <c r="C151" s="1">
        <f>RTD("rtdtrading.rtdserver",, "T&amp;T0", "PRE", 148)</f>
        <v>0</v>
      </c>
      <c r="D151" s="1">
        <f>RTD("rtdtrading.rtdserver",, "T&amp;T0", "QUL", 148)</f>
        <v>0</v>
      </c>
      <c r="E151" s="1" t="str">
        <f>RTD("rtdtrading.rtdserver",, "T&amp;T0", "AVD", 148)</f>
        <v>-</v>
      </c>
      <c r="F151" s="1" t="str">
        <f>RTD("rtdtrading.rtdserver",, "T&amp;T0", "AGR", 148)</f>
        <v>-</v>
      </c>
      <c r="G151" s="1" t="str">
        <f>RTD("rtdtrading.rtdserver",, "T&amp;T0", "AGAG", 148)</f>
        <v>-</v>
      </c>
    </row>
    <row r="152" spans="1:7" x14ac:dyDescent="0.25">
      <c r="A152" s="1" t="str">
        <f>RTD("rtdtrading.rtdserver",, "T&amp;T0", "DAT", 149)</f>
        <v>-</v>
      </c>
      <c r="B152" s="1" t="str">
        <f>RTD("rtdtrading.rtdserver",, "T&amp;T0", "ACP", 149)</f>
        <v>-</v>
      </c>
      <c r="C152" s="1">
        <f>RTD("rtdtrading.rtdserver",, "T&amp;T0", "PRE", 149)</f>
        <v>0</v>
      </c>
      <c r="D152" s="1">
        <f>RTD("rtdtrading.rtdserver",, "T&amp;T0", "QUL", 149)</f>
        <v>0</v>
      </c>
      <c r="E152" s="1" t="str">
        <f>RTD("rtdtrading.rtdserver",, "T&amp;T0", "AVD", 149)</f>
        <v>-</v>
      </c>
      <c r="F152" s="1" t="str">
        <f>RTD("rtdtrading.rtdserver",, "T&amp;T0", "AGR", 149)</f>
        <v>-</v>
      </c>
      <c r="G152" s="1" t="str">
        <f>RTD("rtdtrading.rtdserver",, "T&amp;T0", "AGAG", 149)</f>
        <v>-</v>
      </c>
    </row>
    <row r="153" spans="1:7" x14ac:dyDescent="0.25">
      <c r="A153" s="1" t="str">
        <f>RTD("rtdtrading.rtdserver",, "T&amp;T0", "DAT", 150)</f>
        <v>-</v>
      </c>
      <c r="B153" s="1" t="str">
        <f>RTD("rtdtrading.rtdserver",, "T&amp;T0", "ACP", 150)</f>
        <v>-</v>
      </c>
      <c r="C153" s="1">
        <f>RTD("rtdtrading.rtdserver",, "T&amp;T0", "PRE", 150)</f>
        <v>0</v>
      </c>
      <c r="D153" s="1">
        <f>RTD("rtdtrading.rtdserver",, "T&amp;T0", "QUL", 150)</f>
        <v>0</v>
      </c>
      <c r="E153" s="1" t="str">
        <f>RTD("rtdtrading.rtdserver",, "T&amp;T0", "AVD", 150)</f>
        <v>-</v>
      </c>
      <c r="F153" s="1" t="str">
        <f>RTD("rtdtrading.rtdserver",, "T&amp;T0", "AGR", 150)</f>
        <v>-</v>
      </c>
      <c r="G153" s="1" t="str">
        <f>RTD("rtdtrading.rtdserver",, "T&amp;T0", "AGAG", 150)</f>
        <v>-</v>
      </c>
    </row>
    <row r="154" spans="1:7" x14ac:dyDescent="0.25">
      <c r="A154" s="1" t="str">
        <f>RTD("rtdtrading.rtdserver",, "T&amp;T0", "DAT", 151)</f>
        <v>-</v>
      </c>
      <c r="B154" s="1" t="str">
        <f>RTD("rtdtrading.rtdserver",, "T&amp;T0", "ACP", 151)</f>
        <v>-</v>
      </c>
      <c r="C154" s="1">
        <f>RTD("rtdtrading.rtdserver",, "T&amp;T0", "PRE", 151)</f>
        <v>0</v>
      </c>
      <c r="D154" s="1">
        <f>RTD("rtdtrading.rtdserver",, "T&amp;T0", "QUL", 151)</f>
        <v>0</v>
      </c>
      <c r="E154" s="1" t="str">
        <f>RTD("rtdtrading.rtdserver",, "T&amp;T0", "AVD", 151)</f>
        <v>-</v>
      </c>
      <c r="F154" s="1" t="str">
        <f>RTD("rtdtrading.rtdserver",, "T&amp;T0", "AGR", 151)</f>
        <v>-</v>
      </c>
      <c r="G154" s="1" t="str">
        <f>RTD("rtdtrading.rtdserver",, "T&amp;T0", "AGAG", 151)</f>
        <v>-</v>
      </c>
    </row>
    <row r="155" spans="1:7" x14ac:dyDescent="0.25">
      <c r="A155" s="1" t="str">
        <f>RTD("rtdtrading.rtdserver",, "T&amp;T0", "DAT", 152)</f>
        <v>-</v>
      </c>
      <c r="B155" s="1" t="str">
        <f>RTD("rtdtrading.rtdserver",, "T&amp;T0", "ACP", 152)</f>
        <v>-</v>
      </c>
      <c r="C155" s="1">
        <f>RTD("rtdtrading.rtdserver",, "T&amp;T0", "PRE", 152)</f>
        <v>0</v>
      </c>
      <c r="D155" s="1">
        <f>RTD("rtdtrading.rtdserver",, "T&amp;T0", "QUL", 152)</f>
        <v>0</v>
      </c>
      <c r="E155" s="1" t="str">
        <f>RTD("rtdtrading.rtdserver",, "T&amp;T0", "AVD", 152)</f>
        <v>-</v>
      </c>
      <c r="F155" s="1" t="str">
        <f>RTD("rtdtrading.rtdserver",, "T&amp;T0", "AGR", 152)</f>
        <v>-</v>
      </c>
      <c r="G155" s="1" t="str">
        <f>RTD("rtdtrading.rtdserver",, "T&amp;T0", "AGAG", 152)</f>
        <v>-</v>
      </c>
    </row>
    <row r="156" spans="1:7" x14ac:dyDescent="0.25">
      <c r="A156" s="1" t="str">
        <f>RTD("rtdtrading.rtdserver",, "T&amp;T0", "DAT", 153)</f>
        <v>-</v>
      </c>
      <c r="B156" s="1" t="str">
        <f>RTD("rtdtrading.rtdserver",, "T&amp;T0", "ACP", 153)</f>
        <v>-</v>
      </c>
      <c r="C156" s="1">
        <f>RTD("rtdtrading.rtdserver",, "T&amp;T0", "PRE", 153)</f>
        <v>0</v>
      </c>
      <c r="D156" s="1">
        <f>RTD("rtdtrading.rtdserver",, "T&amp;T0", "QUL", 153)</f>
        <v>0</v>
      </c>
      <c r="E156" s="1" t="str">
        <f>RTD("rtdtrading.rtdserver",, "T&amp;T0", "AVD", 153)</f>
        <v>-</v>
      </c>
      <c r="F156" s="1" t="str">
        <f>RTD("rtdtrading.rtdserver",, "T&amp;T0", "AGR", 153)</f>
        <v>-</v>
      </c>
      <c r="G156" s="1" t="str">
        <f>RTD("rtdtrading.rtdserver",, "T&amp;T0", "AGAG", 153)</f>
        <v>-</v>
      </c>
    </row>
    <row r="157" spans="1:7" x14ac:dyDescent="0.25">
      <c r="A157" s="1" t="str">
        <f>RTD("rtdtrading.rtdserver",, "T&amp;T0", "DAT", 154)</f>
        <v>-</v>
      </c>
      <c r="B157" s="1" t="str">
        <f>RTD("rtdtrading.rtdserver",, "T&amp;T0", "ACP", 154)</f>
        <v>-</v>
      </c>
      <c r="C157" s="1">
        <f>RTD("rtdtrading.rtdserver",, "T&amp;T0", "PRE", 154)</f>
        <v>0</v>
      </c>
      <c r="D157" s="1">
        <f>RTD("rtdtrading.rtdserver",, "T&amp;T0", "QUL", 154)</f>
        <v>0</v>
      </c>
      <c r="E157" s="1" t="str">
        <f>RTD("rtdtrading.rtdserver",, "T&amp;T0", "AVD", 154)</f>
        <v>-</v>
      </c>
      <c r="F157" s="1" t="str">
        <f>RTD("rtdtrading.rtdserver",, "T&amp;T0", "AGR", 154)</f>
        <v>-</v>
      </c>
      <c r="G157" s="1" t="str">
        <f>RTD("rtdtrading.rtdserver",, "T&amp;T0", "AGAG", 154)</f>
        <v>-</v>
      </c>
    </row>
    <row r="158" spans="1:7" x14ac:dyDescent="0.25">
      <c r="A158" s="1" t="str">
        <f>RTD("rtdtrading.rtdserver",, "T&amp;T0", "DAT", 155)</f>
        <v>-</v>
      </c>
      <c r="B158" s="1" t="str">
        <f>RTD("rtdtrading.rtdserver",, "T&amp;T0", "ACP", 155)</f>
        <v>-</v>
      </c>
      <c r="C158" s="1">
        <f>RTD("rtdtrading.rtdserver",, "T&amp;T0", "PRE", 155)</f>
        <v>0</v>
      </c>
      <c r="D158" s="1">
        <f>RTD("rtdtrading.rtdserver",, "T&amp;T0", "QUL", 155)</f>
        <v>0</v>
      </c>
      <c r="E158" s="1" t="str">
        <f>RTD("rtdtrading.rtdserver",, "T&amp;T0", "AVD", 155)</f>
        <v>-</v>
      </c>
      <c r="F158" s="1" t="str">
        <f>RTD("rtdtrading.rtdserver",, "T&amp;T0", "AGR", 155)</f>
        <v>-</v>
      </c>
      <c r="G158" s="1" t="str">
        <f>RTD("rtdtrading.rtdserver",, "T&amp;T0", "AGAG", 155)</f>
        <v>-</v>
      </c>
    </row>
    <row r="159" spans="1:7" x14ac:dyDescent="0.25">
      <c r="A159" s="1" t="str">
        <f>RTD("rtdtrading.rtdserver",, "T&amp;T0", "DAT", 156)</f>
        <v>-</v>
      </c>
      <c r="B159" s="1" t="str">
        <f>RTD("rtdtrading.rtdserver",, "T&amp;T0", "ACP", 156)</f>
        <v>-</v>
      </c>
      <c r="C159" s="1">
        <f>RTD("rtdtrading.rtdserver",, "T&amp;T0", "PRE", 156)</f>
        <v>0</v>
      </c>
      <c r="D159" s="1">
        <f>RTD("rtdtrading.rtdserver",, "T&amp;T0", "QUL", 156)</f>
        <v>0</v>
      </c>
      <c r="E159" s="1" t="str">
        <f>RTD("rtdtrading.rtdserver",, "T&amp;T0", "AVD", 156)</f>
        <v>-</v>
      </c>
      <c r="F159" s="1" t="str">
        <f>RTD("rtdtrading.rtdserver",, "T&amp;T0", "AGR", 156)</f>
        <v>-</v>
      </c>
      <c r="G159" s="1" t="str">
        <f>RTD("rtdtrading.rtdserver",, "T&amp;T0", "AGAG", 156)</f>
        <v>-</v>
      </c>
    </row>
    <row r="160" spans="1:7" x14ac:dyDescent="0.25">
      <c r="A160" s="1" t="str">
        <f>RTD("rtdtrading.rtdserver",, "T&amp;T0", "DAT", 157)</f>
        <v>-</v>
      </c>
      <c r="B160" s="1" t="str">
        <f>RTD("rtdtrading.rtdserver",, "T&amp;T0", "ACP", 157)</f>
        <v>-</v>
      </c>
      <c r="C160" s="1">
        <f>RTD("rtdtrading.rtdserver",, "T&amp;T0", "PRE", 157)</f>
        <v>0</v>
      </c>
      <c r="D160" s="1">
        <f>RTD("rtdtrading.rtdserver",, "T&amp;T0", "QUL", 157)</f>
        <v>0</v>
      </c>
      <c r="E160" s="1" t="str">
        <f>RTD("rtdtrading.rtdserver",, "T&amp;T0", "AVD", 157)</f>
        <v>-</v>
      </c>
      <c r="F160" s="1" t="str">
        <f>RTD("rtdtrading.rtdserver",, "T&amp;T0", "AGR", 157)</f>
        <v>-</v>
      </c>
      <c r="G160" s="1" t="str">
        <f>RTD("rtdtrading.rtdserver",, "T&amp;T0", "AGAG", 157)</f>
        <v>-</v>
      </c>
    </row>
    <row r="161" spans="1:7" x14ac:dyDescent="0.25">
      <c r="A161" s="1" t="str">
        <f>RTD("rtdtrading.rtdserver",, "T&amp;T0", "DAT", 158)</f>
        <v>-</v>
      </c>
      <c r="B161" s="1" t="str">
        <f>RTD("rtdtrading.rtdserver",, "T&amp;T0", "ACP", 158)</f>
        <v>-</v>
      </c>
      <c r="C161" s="1">
        <f>RTD("rtdtrading.rtdserver",, "T&amp;T0", "PRE", 158)</f>
        <v>0</v>
      </c>
      <c r="D161" s="1">
        <f>RTD("rtdtrading.rtdserver",, "T&amp;T0", "QUL", 158)</f>
        <v>0</v>
      </c>
      <c r="E161" s="1" t="str">
        <f>RTD("rtdtrading.rtdserver",, "T&amp;T0", "AVD", 158)</f>
        <v>-</v>
      </c>
      <c r="F161" s="1" t="str">
        <f>RTD("rtdtrading.rtdserver",, "T&amp;T0", "AGR", 158)</f>
        <v>-</v>
      </c>
      <c r="G161" s="1" t="str">
        <f>RTD("rtdtrading.rtdserver",, "T&amp;T0", "AGAG", 158)</f>
        <v>-</v>
      </c>
    </row>
    <row r="162" spans="1:7" x14ac:dyDescent="0.25">
      <c r="A162" s="1" t="str">
        <f>RTD("rtdtrading.rtdserver",, "T&amp;T0", "DAT", 159)</f>
        <v>-</v>
      </c>
      <c r="B162" s="1" t="str">
        <f>RTD("rtdtrading.rtdserver",, "T&amp;T0", "ACP", 159)</f>
        <v>-</v>
      </c>
      <c r="C162" s="1">
        <f>RTD("rtdtrading.rtdserver",, "T&amp;T0", "PRE", 159)</f>
        <v>0</v>
      </c>
      <c r="D162" s="1">
        <f>RTD("rtdtrading.rtdserver",, "T&amp;T0", "QUL", 159)</f>
        <v>0</v>
      </c>
      <c r="E162" s="1" t="str">
        <f>RTD("rtdtrading.rtdserver",, "T&amp;T0", "AVD", 159)</f>
        <v>-</v>
      </c>
      <c r="F162" s="1" t="str">
        <f>RTD("rtdtrading.rtdserver",, "T&amp;T0", "AGR", 159)</f>
        <v>-</v>
      </c>
      <c r="G162" s="1" t="str">
        <f>RTD("rtdtrading.rtdserver",, "T&amp;T0", "AGAG", 159)</f>
        <v>-</v>
      </c>
    </row>
    <row r="163" spans="1:7" x14ac:dyDescent="0.25">
      <c r="A163" s="1" t="str">
        <f>RTD("rtdtrading.rtdserver",, "T&amp;T0", "DAT", 160)</f>
        <v>-</v>
      </c>
      <c r="B163" s="1" t="str">
        <f>RTD("rtdtrading.rtdserver",, "T&amp;T0", "ACP", 160)</f>
        <v>-</v>
      </c>
      <c r="C163" s="1">
        <f>RTD("rtdtrading.rtdserver",, "T&amp;T0", "PRE", 160)</f>
        <v>0</v>
      </c>
      <c r="D163" s="1">
        <f>RTD("rtdtrading.rtdserver",, "T&amp;T0", "QUL", 160)</f>
        <v>0</v>
      </c>
      <c r="E163" s="1" t="str">
        <f>RTD("rtdtrading.rtdserver",, "T&amp;T0", "AVD", 160)</f>
        <v>-</v>
      </c>
      <c r="F163" s="1" t="str">
        <f>RTD("rtdtrading.rtdserver",, "T&amp;T0", "AGR", 160)</f>
        <v>-</v>
      </c>
      <c r="G163" s="1" t="str">
        <f>RTD("rtdtrading.rtdserver",, "T&amp;T0", "AGAG", 160)</f>
        <v>-</v>
      </c>
    </row>
    <row r="164" spans="1:7" x14ac:dyDescent="0.25">
      <c r="A164" s="1" t="str">
        <f>RTD("rtdtrading.rtdserver",, "T&amp;T0", "DAT", 161)</f>
        <v>-</v>
      </c>
      <c r="B164" s="1" t="str">
        <f>RTD("rtdtrading.rtdserver",, "T&amp;T0", "ACP", 161)</f>
        <v>-</v>
      </c>
      <c r="C164" s="1">
        <f>RTD("rtdtrading.rtdserver",, "T&amp;T0", "PRE", 161)</f>
        <v>0</v>
      </c>
      <c r="D164" s="1">
        <f>RTD("rtdtrading.rtdserver",, "T&amp;T0", "QUL", 161)</f>
        <v>0</v>
      </c>
      <c r="E164" s="1" t="str">
        <f>RTD("rtdtrading.rtdserver",, "T&amp;T0", "AVD", 161)</f>
        <v>-</v>
      </c>
      <c r="F164" s="1" t="str">
        <f>RTD("rtdtrading.rtdserver",, "T&amp;T0", "AGR", 161)</f>
        <v>-</v>
      </c>
      <c r="G164" s="1" t="str">
        <f>RTD("rtdtrading.rtdserver",, "T&amp;T0", "AGAG", 161)</f>
        <v>-</v>
      </c>
    </row>
    <row r="165" spans="1:7" x14ac:dyDescent="0.25">
      <c r="A165" s="1" t="str">
        <f>RTD("rtdtrading.rtdserver",, "T&amp;T0", "DAT", 162)</f>
        <v>-</v>
      </c>
      <c r="B165" s="1" t="str">
        <f>RTD("rtdtrading.rtdserver",, "T&amp;T0", "ACP", 162)</f>
        <v>-</v>
      </c>
      <c r="C165" s="1">
        <f>RTD("rtdtrading.rtdserver",, "T&amp;T0", "PRE", 162)</f>
        <v>0</v>
      </c>
      <c r="D165" s="1">
        <f>RTD("rtdtrading.rtdserver",, "T&amp;T0", "QUL", 162)</f>
        <v>0</v>
      </c>
      <c r="E165" s="1" t="str">
        <f>RTD("rtdtrading.rtdserver",, "T&amp;T0", "AVD", 162)</f>
        <v>-</v>
      </c>
      <c r="F165" s="1" t="str">
        <f>RTD("rtdtrading.rtdserver",, "T&amp;T0", "AGR", 162)</f>
        <v>-</v>
      </c>
      <c r="G165" s="1" t="str">
        <f>RTD("rtdtrading.rtdserver",, "T&amp;T0", "AGAG", 162)</f>
        <v>-</v>
      </c>
    </row>
    <row r="166" spans="1:7" x14ac:dyDescent="0.25">
      <c r="A166" s="1" t="str">
        <f>RTD("rtdtrading.rtdserver",, "T&amp;T0", "DAT", 163)</f>
        <v>-</v>
      </c>
      <c r="B166" s="1" t="str">
        <f>RTD("rtdtrading.rtdserver",, "T&amp;T0", "ACP", 163)</f>
        <v>-</v>
      </c>
      <c r="C166" s="1">
        <f>RTD("rtdtrading.rtdserver",, "T&amp;T0", "PRE", 163)</f>
        <v>0</v>
      </c>
      <c r="D166" s="1">
        <f>RTD("rtdtrading.rtdserver",, "T&amp;T0", "QUL", 163)</f>
        <v>0</v>
      </c>
      <c r="E166" s="1" t="str">
        <f>RTD("rtdtrading.rtdserver",, "T&amp;T0", "AVD", 163)</f>
        <v>-</v>
      </c>
      <c r="F166" s="1" t="str">
        <f>RTD("rtdtrading.rtdserver",, "T&amp;T0", "AGR", 163)</f>
        <v>-</v>
      </c>
      <c r="G166" s="1" t="str">
        <f>RTD("rtdtrading.rtdserver",, "T&amp;T0", "AGAG", 163)</f>
        <v>-</v>
      </c>
    </row>
    <row r="167" spans="1:7" x14ac:dyDescent="0.25">
      <c r="A167" s="1" t="str">
        <f>RTD("rtdtrading.rtdserver",, "T&amp;T0", "DAT", 164)</f>
        <v>-</v>
      </c>
      <c r="B167" s="1" t="str">
        <f>RTD("rtdtrading.rtdserver",, "T&amp;T0", "ACP", 164)</f>
        <v>-</v>
      </c>
      <c r="C167" s="1">
        <f>RTD("rtdtrading.rtdserver",, "T&amp;T0", "PRE", 164)</f>
        <v>0</v>
      </c>
      <c r="D167" s="1">
        <f>RTD("rtdtrading.rtdserver",, "T&amp;T0", "QUL", 164)</f>
        <v>0</v>
      </c>
      <c r="E167" s="1" t="str">
        <f>RTD("rtdtrading.rtdserver",, "T&amp;T0", "AVD", 164)</f>
        <v>-</v>
      </c>
      <c r="F167" s="1" t="str">
        <f>RTD("rtdtrading.rtdserver",, "T&amp;T0", "AGR", 164)</f>
        <v>-</v>
      </c>
      <c r="G167" s="1" t="str">
        <f>RTD("rtdtrading.rtdserver",, "T&amp;T0", "AGAG", 164)</f>
        <v>-</v>
      </c>
    </row>
    <row r="168" spans="1:7" x14ac:dyDescent="0.25">
      <c r="A168" s="1" t="str">
        <f>RTD("rtdtrading.rtdserver",, "T&amp;T0", "DAT", 165)</f>
        <v>-</v>
      </c>
      <c r="B168" s="1" t="str">
        <f>RTD("rtdtrading.rtdserver",, "T&amp;T0", "ACP", 165)</f>
        <v>-</v>
      </c>
      <c r="C168" s="1">
        <f>RTD("rtdtrading.rtdserver",, "T&amp;T0", "PRE", 165)</f>
        <v>0</v>
      </c>
      <c r="D168" s="1">
        <f>RTD("rtdtrading.rtdserver",, "T&amp;T0", "QUL", 165)</f>
        <v>0</v>
      </c>
      <c r="E168" s="1" t="str">
        <f>RTD("rtdtrading.rtdserver",, "T&amp;T0", "AVD", 165)</f>
        <v>-</v>
      </c>
      <c r="F168" s="1" t="str">
        <f>RTD("rtdtrading.rtdserver",, "T&amp;T0", "AGR", 165)</f>
        <v>-</v>
      </c>
      <c r="G168" s="1" t="str">
        <f>RTD("rtdtrading.rtdserver",, "T&amp;T0", "AGAG", 165)</f>
        <v>-</v>
      </c>
    </row>
    <row r="169" spans="1:7" x14ac:dyDescent="0.25">
      <c r="A169" s="1" t="str">
        <f>RTD("rtdtrading.rtdserver",, "T&amp;T0", "DAT", 166)</f>
        <v>-</v>
      </c>
      <c r="B169" s="1" t="str">
        <f>RTD("rtdtrading.rtdserver",, "T&amp;T0", "ACP", 166)</f>
        <v>-</v>
      </c>
      <c r="C169" s="1">
        <f>RTD("rtdtrading.rtdserver",, "T&amp;T0", "PRE", 166)</f>
        <v>0</v>
      </c>
      <c r="D169" s="1">
        <f>RTD("rtdtrading.rtdserver",, "T&amp;T0", "QUL", 166)</f>
        <v>0</v>
      </c>
      <c r="E169" s="1" t="str">
        <f>RTD("rtdtrading.rtdserver",, "T&amp;T0", "AVD", 166)</f>
        <v>-</v>
      </c>
      <c r="F169" s="1" t="str">
        <f>RTD("rtdtrading.rtdserver",, "T&amp;T0", "AGR", 166)</f>
        <v>-</v>
      </c>
      <c r="G169" s="1" t="str">
        <f>RTD("rtdtrading.rtdserver",, "T&amp;T0", "AGAG", 166)</f>
        <v>-</v>
      </c>
    </row>
    <row r="170" spans="1:7" x14ac:dyDescent="0.25">
      <c r="A170" s="1" t="str">
        <f>RTD("rtdtrading.rtdserver",, "T&amp;T0", "DAT", 167)</f>
        <v>-</v>
      </c>
      <c r="B170" s="1" t="str">
        <f>RTD("rtdtrading.rtdserver",, "T&amp;T0", "ACP", 167)</f>
        <v>-</v>
      </c>
      <c r="C170" s="1">
        <f>RTD("rtdtrading.rtdserver",, "T&amp;T0", "PRE", 167)</f>
        <v>0</v>
      </c>
      <c r="D170" s="1">
        <f>RTD("rtdtrading.rtdserver",, "T&amp;T0", "QUL", 167)</f>
        <v>0</v>
      </c>
      <c r="E170" s="1" t="str">
        <f>RTD("rtdtrading.rtdserver",, "T&amp;T0", "AVD", 167)</f>
        <v>-</v>
      </c>
      <c r="F170" s="1" t="str">
        <f>RTD("rtdtrading.rtdserver",, "T&amp;T0", "AGR", 167)</f>
        <v>-</v>
      </c>
      <c r="G170" s="1" t="str">
        <f>RTD("rtdtrading.rtdserver",, "T&amp;T0", "AGAG", 167)</f>
        <v>-</v>
      </c>
    </row>
    <row r="171" spans="1:7" x14ac:dyDescent="0.25">
      <c r="A171" s="1" t="str">
        <f>RTD("rtdtrading.rtdserver",, "T&amp;T0", "DAT", 168)</f>
        <v>-</v>
      </c>
      <c r="B171" s="1" t="str">
        <f>RTD("rtdtrading.rtdserver",, "T&amp;T0", "ACP", 168)</f>
        <v>-</v>
      </c>
      <c r="C171" s="1">
        <f>RTD("rtdtrading.rtdserver",, "T&amp;T0", "PRE", 168)</f>
        <v>0</v>
      </c>
      <c r="D171" s="1">
        <f>RTD("rtdtrading.rtdserver",, "T&amp;T0", "QUL", 168)</f>
        <v>0</v>
      </c>
      <c r="E171" s="1" t="str">
        <f>RTD("rtdtrading.rtdserver",, "T&amp;T0", "AVD", 168)</f>
        <v>-</v>
      </c>
      <c r="F171" s="1" t="str">
        <f>RTD("rtdtrading.rtdserver",, "T&amp;T0", "AGR", 168)</f>
        <v>-</v>
      </c>
      <c r="G171" s="1" t="str">
        <f>RTD("rtdtrading.rtdserver",, "T&amp;T0", "AGAG", 168)</f>
        <v>-</v>
      </c>
    </row>
    <row r="172" spans="1:7" x14ac:dyDescent="0.25">
      <c r="A172" s="1" t="str">
        <f>RTD("rtdtrading.rtdserver",, "T&amp;T0", "DAT", 169)</f>
        <v>-</v>
      </c>
      <c r="B172" s="1" t="str">
        <f>RTD("rtdtrading.rtdserver",, "T&amp;T0", "ACP", 169)</f>
        <v>-</v>
      </c>
      <c r="C172" s="1">
        <f>RTD("rtdtrading.rtdserver",, "T&amp;T0", "PRE", 169)</f>
        <v>0</v>
      </c>
      <c r="D172" s="1">
        <f>RTD("rtdtrading.rtdserver",, "T&amp;T0", "QUL", 169)</f>
        <v>0</v>
      </c>
      <c r="E172" s="1" t="str">
        <f>RTD("rtdtrading.rtdserver",, "T&amp;T0", "AVD", 169)</f>
        <v>-</v>
      </c>
      <c r="F172" s="1" t="str">
        <f>RTD("rtdtrading.rtdserver",, "T&amp;T0", "AGR", 169)</f>
        <v>-</v>
      </c>
      <c r="G172" s="1" t="str">
        <f>RTD("rtdtrading.rtdserver",, "T&amp;T0", "AGAG", 169)</f>
        <v>-</v>
      </c>
    </row>
    <row r="173" spans="1:7" x14ac:dyDescent="0.25">
      <c r="A173" s="1" t="str">
        <f>RTD("rtdtrading.rtdserver",, "T&amp;T0", "DAT", 170)</f>
        <v>-</v>
      </c>
      <c r="B173" s="1" t="str">
        <f>RTD("rtdtrading.rtdserver",, "T&amp;T0", "ACP", 170)</f>
        <v>-</v>
      </c>
      <c r="C173" s="1">
        <f>RTD("rtdtrading.rtdserver",, "T&amp;T0", "PRE", 170)</f>
        <v>0</v>
      </c>
      <c r="D173" s="1">
        <f>RTD("rtdtrading.rtdserver",, "T&amp;T0", "QUL", 170)</f>
        <v>0</v>
      </c>
      <c r="E173" s="1" t="str">
        <f>RTD("rtdtrading.rtdserver",, "T&amp;T0", "AVD", 170)</f>
        <v>-</v>
      </c>
      <c r="F173" s="1" t="str">
        <f>RTD("rtdtrading.rtdserver",, "T&amp;T0", "AGR", 170)</f>
        <v>-</v>
      </c>
      <c r="G173" s="1" t="str">
        <f>RTD("rtdtrading.rtdserver",, "T&amp;T0", "AGAG", 170)</f>
        <v>-</v>
      </c>
    </row>
    <row r="174" spans="1:7" x14ac:dyDescent="0.25">
      <c r="A174" s="1" t="str">
        <f>RTD("rtdtrading.rtdserver",, "T&amp;T0", "DAT", 171)</f>
        <v>-</v>
      </c>
      <c r="B174" s="1" t="str">
        <f>RTD("rtdtrading.rtdserver",, "T&amp;T0", "ACP", 171)</f>
        <v>-</v>
      </c>
      <c r="C174" s="1">
        <f>RTD("rtdtrading.rtdserver",, "T&amp;T0", "PRE", 171)</f>
        <v>0</v>
      </c>
      <c r="D174" s="1">
        <f>RTD("rtdtrading.rtdserver",, "T&amp;T0", "QUL", 171)</f>
        <v>0</v>
      </c>
      <c r="E174" s="1" t="str">
        <f>RTD("rtdtrading.rtdserver",, "T&amp;T0", "AVD", 171)</f>
        <v>-</v>
      </c>
      <c r="F174" s="1" t="str">
        <f>RTD("rtdtrading.rtdserver",, "T&amp;T0", "AGR", 171)</f>
        <v>-</v>
      </c>
      <c r="G174" s="1" t="str">
        <f>RTD("rtdtrading.rtdserver",, "T&amp;T0", "AGAG", 171)</f>
        <v>-</v>
      </c>
    </row>
    <row r="175" spans="1:7" x14ac:dyDescent="0.25">
      <c r="A175" s="1" t="str">
        <f>RTD("rtdtrading.rtdserver",, "T&amp;T0", "DAT", 172)</f>
        <v>-</v>
      </c>
      <c r="B175" s="1" t="str">
        <f>RTD("rtdtrading.rtdserver",, "T&amp;T0", "ACP", 172)</f>
        <v>-</v>
      </c>
      <c r="C175" s="1">
        <f>RTD("rtdtrading.rtdserver",, "T&amp;T0", "PRE", 172)</f>
        <v>0</v>
      </c>
      <c r="D175" s="1">
        <f>RTD("rtdtrading.rtdserver",, "T&amp;T0", "QUL", 172)</f>
        <v>0</v>
      </c>
      <c r="E175" s="1" t="str">
        <f>RTD("rtdtrading.rtdserver",, "T&amp;T0", "AVD", 172)</f>
        <v>-</v>
      </c>
      <c r="F175" s="1" t="str">
        <f>RTD("rtdtrading.rtdserver",, "T&amp;T0", "AGR", 172)</f>
        <v>-</v>
      </c>
      <c r="G175" s="1" t="str">
        <f>RTD("rtdtrading.rtdserver",, "T&amp;T0", "AGAG", 172)</f>
        <v>-</v>
      </c>
    </row>
    <row r="176" spans="1:7" x14ac:dyDescent="0.25">
      <c r="A176" s="1" t="str">
        <f>RTD("rtdtrading.rtdserver",, "T&amp;T0", "DAT", 173)</f>
        <v>-</v>
      </c>
      <c r="B176" s="1" t="str">
        <f>RTD("rtdtrading.rtdserver",, "T&amp;T0", "ACP", 173)</f>
        <v>-</v>
      </c>
      <c r="C176" s="1">
        <f>RTD("rtdtrading.rtdserver",, "T&amp;T0", "PRE", 173)</f>
        <v>0</v>
      </c>
      <c r="D176" s="1">
        <f>RTD("rtdtrading.rtdserver",, "T&amp;T0", "QUL", 173)</f>
        <v>0</v>
      </c>
      <c r="E176" s="1" t="str">
        <f>RTD("rtdtrading.rtdserver",, "T&amp;T0", "AVD", 173)</f>
        <v>-</v>
      </c>
      <c r="F176" s="1" t="str">
        <f>RTD("rtdtrading.rtdserver",, "T&amp;T0", "AGR", 173)</f>
        <v>-</v>
      </c>
      <c r="G176" s="1" t="str">
        <f>RTD("rtdtrading.rtdserver",, "T&amp;T0", "AGAG", 173)</f>
        <v>-</v>
      </c>
    </row>
    <row r="177" spans="1:7" x14ac:dyDescent="0.25">
      <c r="A177" s="1" t="str">
        <f>RTD("rtdtrading.rtdserver",, "T&amp;T0", "DAT", 174)</f>
        <v>-</v>
      </c>
      <c r="B177" s="1" t="str">
        <f>RTD("rtdtrading.rtdserver",, "T&amp;T0", "ACP", 174)</f>
        <v>-</v>
      </c>
      <c r="C177" s="1">
        <f>RTD("rtdtrading.rtdserver",, "T&amp;T0", "PRE", 174)</f>
        <v>0</v>
      </c>
      <c r="D177" s="1">
        <f>RTD("rtdtrading.rtdserver",, "T&amp;T0", "QUL", 174)</f>
        <v>0</v>
      </c>
      <c r="E177" s="1" t="str">
        <f>RTD("rtdtrading.rtdserver",, "T&amp;T0", "AVD", 174)</f>
        <v>-</v>
      </c>
      <c r="F177" s="1" t="str">
        <f>RTD("rtdtrading.rtdserver",, "T&amp;T0", "AGR", 174)</f>
        <v>-</v>
      </c>
      <c r="G177" s="1" t="str">
        <f>RTD("rtdtrading.rtdserver",, "T&amp;T0", "AGAG", 174)</f>
        <v>-</v>
      </c>
    </row>
    <row r="178" spans="1:7" x14ac:dyDescent="0.25">
      <c r="A178" s="1" t="str">
        <f>RTD("rtdtrading.rtdserver",, "T&amp;T0", "DAT", 175)</f>
        <v>-</v>
      </c>
      <c r="B178" s="1" t="str">
        <f>RTD("rtdtrading.rtdserver",, "T&amp;T0", "ACP", 175)</f>
        <v>-</v>
      </c>
      <c r="C178" s="1">
        <f>RTD("rtdtrading.rtdserver",, "T&amp;T0", "PRE", 175)</f>
        <v>0</v>
      </c>
      <c r="D178" s="1">
        <f>RTD("rtdtrading.rtdserver",, "T&amp;T0", "QUL", 175)</f>
        <v>0</v>
      </c>
      <c r="E178" s="1" t="str">
        <f>RTD("rtdtrading.rtdserver",, "T&amp;T0", "AVD", 175)</f>
        <v>-</v>
      </c>
      <c r="F178" s="1" t="str">
        <f>RTD("rtdtrading.rtdserver",, "T&amp;T0", "AGR", 175)</f>
        <v>-</v>
      </c>
      <c r="G178" s="1" t="str">
        <f>RTD("rtdtrading.rtdserver",, "T&amp;T0", "AGAG", 175)</f>
        <v>-</v>
      </c>
    </row>
    <row r="179" spans="1:7" x14ac:dyDescent="0.25">
      <c r="A179" s="1" t="str">
        <f>RTD("rtdtrading.rtdserver",, "T&amp;T0", "DAT", 176)</f>
        <v>-</v>
      </c>
      <c r="B179" s="1" t="str">
        <f>RTD("rtdtrading.rtdserver",, "T&amp;T0", "ACP", 176)</f>
        <v>-</v>
      </c>
      <c r="C179" s="1">
        <f>RTD("rtdtrading.rtdserver",, "T&amp;T0", "PRE", 176)</f>
        <v>0</v>
      </c>
      <c r="D179" s="1">
        <f>RTD("rtdtrading.rtdserver",, "T&amp;T0", "QUL", 176)</f>
        <v>0</v>
      </c>
      <c r="E179" s="1" t="str">
        <f>RTD("rtdtrading.rtdserver",, "T&amp;T0", "AVD", 176)</f>
        <v>-</v>
      </c>
      <c r="F179" s="1" t="str">
        <f>RTD("rtdtrading.rtdserver",, "T&amp;T0", "AGR", 176)</f>
        <v>-</v>
      </c>
      <c r="G179" s="1" t="str">
        <f>RTD("rtdtrading.rtdserver",, "T&amp;T0", "AGAG", 176)</f>
        <v>-</v>
      </c>
    </row>
    <row r="180" spans="1:7" x14ac:dyDescent="0.25">
      <c r="A180" s="1" t="str">
        <f>RTD("rtdtrading.rtdserver",, "T&amp;T0", "DAT", 177)</f>
        <v>-</v>
      </c>
      <c r="B180" s="1" t="str">
        <f>RTD("rtdtrading.rtdserver",, "T&amp;T0", "ACP", 177)</f>
        <v>-</v>
      </c>
      <c r="C180" s="1">
        <f>RTD("rtdtrading.rtdserver",, "T&amp;T0", "PRE", 177)</f>
        <v>0</v>
      </c>
      <c r="D180" s="1">
        <f>RTD("rtdtrading.rtdserver",, "T&amp;T0", "QUL", 177)</f>
        <v>0</v>
      </c>
      <c r="E180" s="1" t="str">
        <f>RTD("rtdtrading.rtdserver",, "T&amp;T0", "AVD", 177)</f>
        <v>-</v>
      </c>
      <c r="F180" s="1" t="str">
        <f>RTD("rtdtrading.rtdserver",, "T&amp;T0", "AGR", 177)</f>
        <v>-</v>
      </c>
      <c r="G180" s="1" t="str">
        <f>RTD("rtdtrading.rtdserver",, "T&amp;T0", "AGAG", 177)</f>
        <v>-</v>
      </c>
    </row>
    <row r="181" spans="1:7" x14ac:dyDescent="0.25">
      <c r="A181" s="1" t="str">
        <f>RTD("rtdtrading.rtdserver",, "T&amp;T0", "DAT", 178)</f>
        <v>-</v>
      </c>
      <c r="B181" s="1" t="str">
        <f>RTD("rtdtrading.rtdserver",, "T&amp;T0", "ACP", 178)</f>
        <v>-</v>
      </c>
      <c r="C181" s="1">
        <f>RTD("rtdtrading.rtdserver",, "T&amp;T0", "PRE", 178)</f>
        <v>0</v>
      </c>
      <c r="D181" s="1">
        <f>RTD("rtdtrading.rtdserver",, "T&amp;T0", "QUL", 178)</f>
        <v>0</v>
      </c>
      <c r="E181" s="1" t="str">
        <f>RTD("rtdtrading.rtdserver",, "T&amp;T0", "AVD", 178)</f>
        <v>-</v>
      </c>
      <c r="F181" s="1" t="str">
        <f>RTD("rtdtrading.rtdserver",, "T&amp;T0", "AGR", 178)</f>
        <v>-</v>
      </c>
      <c r="G181" s="1" t="str">
        <f>RTD("rtdtrading.rtdserver",, "T&amp;T0", "AGAG", 178)</f>
        <v>-</v>
      </c>
    </row>
    <row r="182" spans="1:7" x14ac:dyDescent="0.25">
      <c r="A182" s="1" t="str">
        <f>RTD("rtdtrading.rtdserver",, "T&amp;T0", "DAT", 179)</f>
        <v>-</v>
      </c>
      <c r="B182" s="1" t="str">
        <f>RTD("rtdtrading.rtdserver",, "T&amp;T0", "ACP", 179)</f>
        <v>-</v>
      </c>
      <c r="C182" s="1">
        <f>RTD("rtdtrading.rtdserver",, "T&amp;T0", "PRE", 179)</f>
        <v>0</v>
      </c>
      <c r="D182" s="1">
        <f>RTD("rtdtrading.rtdserver",, "T&amp;T0", "QUL", 179)</f>
        <v>0</v>
      </c>
      <c r="E182" s="1" t="str">
        <f>RTD("rtdtrading.rtdserver",, "T&amp;T0", "AVD", 179)</f>
        <v>-</v>
      </c>
      <c r="F182" s="1" t="str">
        <f>RTD("rtdtrading.rtdserver",, "T&amp;T0", "AGR", 179)</f>
        <v>-</v>
      </c>
      <c r="G182" s="1" t="str">
        <f>RTD("rtdtrading.rtdserver",, "T&amp;T0", "AGAG", 179)</f>
        <v>-</v>
      </c>
    </row>
    <row r="183" spans="1:7" x14ac:dyDescent="0.25">
      <c r="A183" s="1" t="str">
        <f>RTD("rtdtrading.rtdserver",, "T&amp;T0", "DAT", 180)</f>
        <v>-</v>
      </c>
      <c r="B183" s="1" t="str">
        <f>RTD("rtdtrading.rtdserver",, "T&amp;T0", "ACP", 180)</f>
        <v>-</v>
      </c>
      <c r="C183" s="1">
        <f>RTD("rtdtrading.rtdserver",, "T&amp;T0", "PRE", 180)</f>
        <v>0</v>
      </c>
      <c r="D183" s="1">
        <f>RTD("rtdtrading.rtdserver",, "T&amp;T0", "QUL", 180)</f>
        <v>0</v>
      </c>
      <c r="E183" s="1" t="str">
        <f>RTD("rtdtrading.rtdserver",, "T&amp;T0", "AVD", 180)</f>
        <v>-</v>
      </c>
      <c r="F183" s="1" t="str">
        <f>RTD("rtdtrading.rtdserver",, "T&amp;T0", "AGR", 180)</f>
        <v>-</v>
      </c>
      <c r="G183" s="1" t="str">
        <f>RTD("rtdtrading.rtdserver",, "T&amp;T0", "AGAG", 180)</f>
        <v>-</v>
      </c>
    </row>
    <row r="184" spans="1:7" x14ac:dyDescent="0.25">
      <c r="A184" s="1" t="str">
        <f>RTD("rtdtrading.rtdserver",, "T&amp;T0", "DAT", 181)</f>
        <v>-</v>
      </c>
      <c r="B184" s="1" t="str">
        <f>RTD("rtdtrading.rtdserver",, "T&amp;T0", "ACP", 181)</f>
        <v>-</v>
      </c>
      <c r="C184" s="1">
        <f>RTD("rtdtrading.rtdserver",, "T&amp;T0", "PRE", 181)</f>
        <v>0</v>
      </c>
      <c r="D184" s="1">
        <f>RTD("rtdtrading.rtdserver",, "T&amp;T0", "QUL", 181)</f>
        <v>0</v>
      </c>
      <c r="E184" s="1" t="str">
        <f>RTD("rtdtrading.rtdserver",, "T&amp;T0", "AVD", 181)</f>
        <v>-</v>
      </c>
      <c r="F184" s="1" t="str">
        <f>RTD("rtdtrading.rtdserver",, "T&amp;T0", "AGR", 181)</f>
        <v>-</v>
      </c>
      <c r="G184" s="1" t="str">
        <f>RTD("rtdtrading.rtdserver",, "T&amp;T0", "AGAG", 181)</f>
        <v>-</v>
      </c>
    </row>
    <row r="185" spans="1:7" x14ac:dyDescent="0.25">
      <c r="A185" s="1" t="str">
        <f>RTD("rtdtrading.rtdserver",, "T&amp;T0", "DAT", 182)</f>
        <v>-</v>
      </c>
      <c r="B185" s="1" t="str">
        <f>RTD("rtdtrading.rtdserver",, "T&amp;T0", "ACP", 182)</f>
        <v>-</v>
      </c>
      <c r="C185" s="1">
        <f>RTD("rtdtrading.rtdserver",, "T&amp;T0", "PRE", 182)</f>
        <v>0</v>
      </c>
      <c r="D185" s="1">
        <f>RTD("rtdtrading.rtdserver",, "T&amp;T0", "QUL", 182)</f>
        <v>0</v>
      </c>
      <c r="E185" s="1" t="str">
        <f>RTD("rtdtrading.rtdserver",, "T&amp;T0", "AVD", 182)</f>
        <v>-</v>
      </c>
      <c r="F185" s="1" t="str">
        <f>RTD("rtdtrading.rtdserver",, "T&amp;T0", "AGR", 182)</f>
        <v>-</v>
      </c>
      <c r="G185" s="1" t="str">
        <f>RTD("rtdtrading.rtdserver",, "T&amp;T0", "AGAG", 182)</f>
        <v>-</v>
      </c>
    </row>
    <row r="186" spans="1:7" x14ac:dyDescent="0.25">
      <c r="A186" s="1" t="str">
        <f>RTD("rtdtrading.rtdserver",, "T&amp;T0", "DAT", 183)</f>
        <v>-</v>
      </c>
      <c r="B186" s="1" t="str">
        <f>RTD("rtdtrading.rtdserver",, "T&amp;T0", "ACP", 183)</f>
        <v>-</v>
      </c>
      <c r="C186" s="1">
        <f>RTD("rtdtrading.rtdserver",, "T&amp;T0", "PRE", 183)</f>
        <v>0</v>
      </c>
      <c r="D186" s="1">
        <f>RTD("rtdtrading.rtdserver",, "T&amp;T0", "QUL", 183)</f>
        <v>0</v>
      </c>
      <c r="E186" s="1" t="str">
        <f>RTD("rtdtrading.rtdserver",, "T&amp;T0", "AVD", 183)</f>
        <v>-</v>
      </c>
      <c r="F186" s="1" t="str">
        <f>RTD("rtdtrading.rtdserver",, "T&amp;T0", "AGR", 183)</f>
        <v>-</v>
      </c>
      <c r="G186" s="1" t="str">
        <f>RTD("rtdtrading.rtdserver",, "T&amp;T0", "AGAG", 183)</f>
        <v>-</v>
      </c>
    </row>
    <row r="187" spans="1:7" x14ac:dyDescent="0.25">
      <c r="A187" s="1" t="str">
        <f>RTD("rtdtrading.rtdserver",, "T&amp;T0", "DAT", 184)</f>
        <v>-</v>
      </c>
      <c r="B187" s="1" t="str">
        <f>RTD("rtdtrading.rtdserver",, "T&amp;T0", "ACP", 184)</f>
        <v>-</v>
      </c>
      <c r="C187" s="1">
        <f>RTD("rtdtrading.rtdserver",, "T&amp;T0", "PRE", 184)</f>
        <v>0</v>
      </c>
      <c r="D187" s="1">
        <f>RTD("rtdtrading.rtdserver",, "T&amp;T0", "QUL", 184)</f>
        <v>0</v>
      </c>
      <c r="E187" s="1" t="str">
        <f>RTD("rtdtrading.rtdserver",, "T&amp;T0", "AVD", 184)</f>
        <v>-</v>
      </c>
      <c r="F187" s="1" t="str">
        <f>RTD("rtdtrading.rtdserver",, "T&amp;T0", "AGR", 184)</f>
        <v>-</v>
      </c>
      <c r="G187" s="1" t="str">
        <f>RTD("rtdtrading.rtdserver",, "T&amp;T0", "AGAG", 184)</f>
        <v>-</v>
      </c>
    </row>
    <row r="188" spans="1:7" x14ac:dyDescent="0.25">
      <c r="A188" s="1" t="str">
        <f>RTD("rtdtrading.rtdserver",, "T&amp;T0", "DAT", 185)</f>
        <v>-</v>
      </c>
      <c r="B188" s="1" t="str">
        <f>RTD("rtdtrading.rtdserver",, "T&amp;T0", "ACP", 185)</f>
        <v>-</v>
      </c>
      <c r="C188" s="1">
        <f>RTD("rtdtrading.rtdserver",, "T&amp;T0", "PRE", 185)</f>
        <v>0</v>
      </c>
      <c r="D188" s="1">
        <f>RTD("rtdtrading.rtdserver",, "T&amp;T0", "QUL", 185)</f>
        <v>0</v>
      </c>
      <c r="E188" s="1" t="str">
        <f>RTD("rtdtrading.rtdserver",, "T&amp;T0", "AVD", 185)</f>
        <v>-</v>
      </c>
      <c r="F188" s="1" t="str">
        <f>RTD("rtdtrading.rtdserver",, "T&amp;T0", "AGR", 185)</f>
        <v>-</v>
      </c>
      <c r="G188" s="1" t="str">
        <f>RTD("rtdtrading.rtdserver",, "T&amp;T0", "AGAG", 185)</f>
        <v>-</v>
      </c>
    </row>
    <row r="189" spans="1:7" x14ac:dyDescent="0.25">
      <c r="A189" s="1" t="str">
        <f>RTD("rtdtrading.rtdserver",, "T&amp;T0", "DAT", 186)</f>
        <v>-</v>
      </c>
      <c r="B189" s="1" t="str">
        <f>RTD("rtdtrading.rtdserver",, "T&amp;T0", "ACP", 186)</f>
        <v>-</v>
      </c>
      <c r="C189" s="1">
        <f>RTD("rtdtrading.rtdserver",, "T&amp;T0", "PRE", 186)</f>
        <v>0</v>
      </c>
      <c r="D189" s="1">
        <f>RTD("rtdtrading.rtdserver",, "T&amp;T0", "QUL", 186)</f>
        <v>0</v>
      </c>
      <c r="E189" s="1" t="str">
        <f>RTD("rtdtrading.rtdserver",, "T&amp;T0", "AVD", 186)</f>
        <v>-</v>
      </c>
      <c r="F189" s="1" t="str">
        <f>RTD("rtdtrading.rtdserver",, "T&amp;T0", "AGR", 186)</f>
        <v>-</v>
      </c>
      <c r="G189" s="1" t="str">
        <f>RTD("rtdtrading.rtdserver",, "T&amp;T0", "AGAG", 186)</f>
        <v>-</v>
      </c>
    </row>
    <row r="190" spans="1:7" x14ac:dyDescent="0.25">
      <c r="A190" s="1" t="str">
        <f>RTD("rtdtrading.rtdserver",, "T&amp;T0", "DAT", 187)</f>
        <v>-</v>
      </c>
      <c r="B190" s="1" t="str">
        <f>RTD("rtdtrading.rtdserver",, "T&amp;T0", "ACP", 187)</f>
        <v>-</v>
      </c>
      <c r="C190" s="1">
        <f>RTD("rtdtrading.rtdserver",, "T&amp;T0", "PRE", 187)</f>
        <v>0</v>
      </c>
      <c r="D190" s="1">
        <f>RTD("rtdtrading.rtdserver",, "T&amp;T0", "QUL", 187)</f>
        <v>0</v>
      </c>
      <c r="E190" s="1" t="str">
        <f>RTD("rtdtrading.rtdserver",, "T&amp;T0", "AVD", 187)</f>
        <v>-</v>
      </c>
      <c r="F190" s="1" t="str">
        <f>RTD("rtdtrading.rtdserver",, "T&amp;T0", "AGR", 187)</f>
        <v>-</v>
      </c>
      <c r="G190" s="1" t="str">
        <f>RTD("rtdtrading.rtdserver",, "T&amp;T0", "AGAG", 187)</f>
        <v>-</v>
      </c>
    </row>
    <row r="191" spans="1:7" x14ac:dyDescent="0.25">
      <c r="A191" s="1" t="str">
        <f>RTD("rtdtrading.rtdserver",, "T&amp;T0", "DAT", 188)</f>
        <v>-</v>
      </c>
      <c r="B191" s="1" t="str">
        <f>RTD("rtdtrading.rtdserver",, "T&amp;T0", "ACP", 188)</f>
        <v>-</v>
      </c>
      <c r="C191" s="1">
        <f>RTD("rtdtrading.rtdserver",, "T&amp;T0", "PRE", 188)</f>
        <v>0</v>
      </c>
      <c r="D191" s="1">
        <f>RTD("rtdtrading.rtdserver",, "T&amp;T0", "QUL", 188)</f>
        <v>0</v>
      </c>
      <c r="E191" s="1" t="str">
        <f>RTD("rtdtrading.rtdserver",, "T&amp;T0", "AVD", 188)</f>
        <v>-</v>
      </c>
      <c r="F191" s="1" t="str">
        <f>RTD("rtdtrading.rtdserver",, "T&amp;T0", "AGR", 188)</f>
        <v>-</v>
      </c>
      <c r="G191" s="1" t="str">
        <f>RTD("rtdtrading.rtdserver",, "T&amp;T0", "AGAG", 188)</f>
        <v>-</v>
      </c>
    </row>
    <row r="192" spans="1:7" x14ac:dyDescent="0.25">
      <c r="A192" s="1" t="str">
        <f>RTD("rtdtrading.rtdserver",, "T&amp;T0", "DAT", 189)</f>
        <v>-</v>
      </c>
      <c r="B192" s="1" t="str">
        <f>RTD("rtdtrading.rtdserver",, "T&amp;T0", "ACP", 189)</f>
        <v>-</v>
      </c>
      <c r="C192" s="1">
        <f>RTD("rtdtrading.rtdserver",, "T&amp;T0", "PRE", 189)</f>
        <v>0</v>
      </c>
      <c r="D192" s="1">
        <f>RTD("rtdtrading.rtdserver",, "T&amp;T0", "QUL", 189)</f>
        <v>0</v>
      </c>
      <c r="E192" s="1" t="str">
        <f>RTD("rtdtrading.rtdserver",, "T&amp;T0", "AVD", 189)</f>
        <v>-</v>
      </c>
      <c r="F192" s="1" t="str">
        <f>RTD("rtdtrading.rtdserver",, "T&amp;T0", "AGR", 189)</f>
        <v>-</v>
      </c>
      <c r="G192" s="1" t="str">
        <f>RTD("rtdtrading.rtdserver",, "T&amp;T0", "AGAG", 189)</f>
        <v>-</v>
      </c>
    </row>
    <row r="193" spans="1:7" x14ac:dyDescent="0.25">
      <c r="A193" s="1" t="str">
        <f>RTD("rtdtrading.rtdserver",, "T&amp;T0", "DAT", 190)</f>
        <v>-</v>
      </c>
      <c r="B193" s="1" t="str">
        <f>RTD("rtdtrading.rtdserver",, "T&amp;T0", "ACP", 190)</f>
        <v>-</v>
      </c>
      <c r="C193" s="1">
        <f>RTD("rtdtrading.rtdserver",, "T&amp;T0", "PRE", 190)</f>
        <v>0</v>
      </c>
      <c r="D193" s="1">
        <f>RTD("rtdtrading.rtdserver",, "T&amp;T0", "QUL", 190)</f>
        <v>0</v>
      </c>
      <c r="E193" s="1" t="str">
        <f>RTD("rtdtrading.rtdserver",, "T&amp;T0", "AVD", 190)</f>
        <v>-</v>
      </c>
      <c r="F193" s="1" t="str">
        <f>RTD("rtdtrading.rtdserver",, "T&amp;T0", "AGR", 190)</f>
        <v>-</v>
      </c>
      <c r="G193" s="1" t="str">
        <f>RTD("rtdtrading.rtdserver",, "T&amp;T0", "AGAG", 190)</f>
        <v>-</v>
      </c>
    </row>
    <row r="194" spans="1:7" x14ac:dyDescent="0.25">
      <c r="A194" s="1" t="str">
        <f>RTD("rtdtrading.rtdserver",, "T&amp;T0", "DAT", 191)</f>
        <v>-</v>
      </c>
      <c r="B194" s="1" t="str">
        <f>RTD("rtdtrading.rtdserver",, "T&amp;T0", "ACP", 191)</f>
        <v>-</v>
      </c>
      <c r="C194" s="1">
        <f>RTD("rtdtrading.rtdserver",, "T&amp;T0", "PRE", 191)</f>
        <v>0</v>
      </c>
      <c r="D194" s="1">
        <f>RTD("rtdtrading.rtdserver",, "T&amp;T0", "QUL", 191)</f>
        <v>0</v>
      </c>
      <c r="E194" s="1" t="str">
        <f>RTD("rtdtrading.rtdserver",, "T&amp;T0", "AVD", 191)</f>
        <v>-</v>
      </c>
      <c r="F194" s="1" t="str">
        <f>RTD("rtdtrading.rtdserver",, "T&amp;T0", "AGR", 191)</f>
        <v>-</v>
      </c>
      <c r="G194" s="1" t="str">
        <f>RTD("rtdtrading.rtdserver",, "T&amp;T0", "AGAG", 191)</f>
        <v>-</v>
      </c>
    </row>
    <row r="195" spans="1:7" x14ac:dyDescent="0.25">
      <c r="A195" s="1" t="str">
        <f>RTD("rtdtrading.rtdserver",, "T&amp;T0", "DAT", 192)</f>
        <v>-</v>
      </c>
      <c r="B195" s="1" t="str">
        <f>RTD("rtdtrading.rtdserver",, "T&amp;T0", "ACP", 192)</f>
        <v>-</v>
      </c>
      <c r="C195" s="1">
        <f>RTD("rtdtrading.rtdserver",, "T&amp;T0", "PRE", 192)</f>
        <v>0</v>
      </c>
      <c r="D195" s="1">
        <f>RTD("rtdtrading.rtdserver",, "T&amp;T0", "QUL", 192)</f>
        <v>0</v>
      </c>
      <c r="E195" s="1" t="str">
        <f>RTD("rtdtrading.rtdserver",, "T&amp;T0", "AVD", 192)</f>
        <v>-</v>
      </c>
      <c r="F195" s="1" t="str">
        <f>RTD("rtdtrading.rtdserver",, "T&amp;T0", "AGR", 192)</f>
        <v>-</v>
      </c>
      <c r="G195" s="1" t="str">
        <f>RTD("rtdtrading.rtdserver",, "T&amp;T0", "AGAG", 192)</f>
        <v>-</v>
      </c>
    </row>
    <row r="196" spans="1:7" x14ac:dyDescent="0.25">
      <c r="A196" s="1" t="str">
        <f>RTD("rtdtrading.rtdserver",, "T&amp;T0", "DAT", 193)</f>
        <v>-</v>
      </c>
      <c r="B196" s="1" t="str">
        <f>RTD("rtdtrading.rtdserver",, "T&amp;T0", "ACP", 193)</f>
        <v>-</v>
      </c>
      <c r="C196" s="1">
        <f>RTD("rtdtrading.rtdserver",, "T&amp;T0", "PRE", 193)</f>
        <v>0</v>
      </c>
      <c r="D196" s="1">
        <f>RTD("rtdtrading.rtdserver",, "T&amp;T0", "QUL", 193)</f>
        <v>0</v>
      </c>
      <c r="E196" s="1" t="str">
        <f>RTD("rtdtrading.rtdserver",, "T&amp;T0", "AVD", 193)</f>
        <v>-</v>
      </c>
      <c r="F196" s="1" t="str">
        <f>RTD("rtdtrading.rtdserver",, "T&amp;T0", "AGR", 193)</f>
        <v>-</v>
      </c>
      <c r="G196" s="1" t="str">
        <f>RTD("rtdtrading.rtdserver",, "T&amp;T0", "AGAG", 193)</f>
        <v>-</v>
      </c>
    </row>
    <row r="197" spans="1:7" x14ac:dyDescent="0.25">
      <c r="A197" s="1" t="str">
        <f>RTD("rtdtrading.rtdserver",, "T&amp;T0", "DAT", 194)</f>
        <v>-</v>
      </c>
      <c r="B197" s="1" t="str">
        <f>RTD("rtdtrading.rtdserver",, "T&amp;T0", "ACP", 194)</f>
        <v>-</v>
      </c>
      <c r="C197" s="1">
        <f>RTD("rtdtrading.rtdserver",, "T&amp;T0", "PRE", 194)</f>
        <v>0</v>
      </c>
      <c r="D197" s="1">
        <f>RTD("rtdtrading.rtdserver",, "T&amp;T0", "QUL", 194)</f>
        <v>0</v>
      </c>
      <c r="E197" s="1" t="str">
        <f>RTD("rtdtrading.rtdserver",, "T&amp;T0", "AVD", 194)</f>
        <v>-</v>
      </c>
      <c r="F197" s="1" t="str">
        <f>RTD("rtdtrading.rtdserver",, "T&amp;T0", "AGR", 194)</f>
        <v>-</v>
      </c>
      <c r="G197" s="1" t="str">
        <f>RTD("rtdtrading.rtdserver",, "T&amp;T0", "AGAG", 194)</f>
        <v>-</v>
      </c>
    </row>
    <row r="198" spans="1:7" x14ac:dyDescent="0.25">
      <c r="A198" s="1" t="str">
        <f>RTD("rtdtrading.rtdserver",, "T&amp;T0", "DAT", 195)</f>
        <v>-</v>
      </c>
      <c r="B198" s="1" t="str">
        <f>RTD("rtdtrading.rtdserver",, "T&amp;T0", "ACP", 195)</f>
        <v>-</v>
      </c>
      <c r="C198" s="1">
        <f>RTD("rtdtrading.rtdserver",, "T&amp;T0", "PRE", 195)</f>
        <v>0</v>
      </c>
      <c r="D198" s="1">
        <f>RTD("rtdtrading.rtdserver",, "T&amp;T0", "QUL", 195)</f>
        <v>0</v>
      </c>
      <c r="E198" s="1" t="str">
        <f>RTD("rtdtrading.rtdserver",, "T&amp;T0", "AVD", 195)</f>
        <v>-</v>
      </c>
      <c r="F198" s="1" t="str">
        <f>RTD("rtdtrading.rtdserver",, "T&amp;T0", "AGR", 195)</f>
        <v>-</v>
      </c>
      <c r="G198" s="1" t="str">
        <f>RTD("rtdtrading.rtdserver",, "T&amp;T0", "AGAG", 195)</f>
        <v>-</v>
      </c>
    </row>
    <row r="199" spans="1:7" x14ac:dyDescent="0.25">
      <c r="A199" s="1" t="str">
        <f>RTD("rtdtrading.rtdserver",, "T&amp;T0", "DAT", 196)</f>
        <v>-</v>
      </c>
      <c r="B199" s="1" t="str">
        <f>RTD("rtdtrading.rtdserver",, "T&amp;T0", "ACP", 196)</f>
        <v>-</v>
      </c>
      <c r="C199" s="1">
        <f>RTD("rtdtrading.rtdserver",, "T&amp;T0", "PRE", 196)</f>
        <v>0</v>
      </c>
      <c r="D199" s="1">
        <f>RTD("rtdtrading.rtdserver",, "T&amp;T0", "QUL", 196)</f>
        <v>0</v>
      </c>
      <c r="E199" s="1" t="str">
        <f>RTD("rtdtrading.rtdserver",, "T&amp;T0", "AVD", 196)</f>
        <v>-</v>
      </c>
      <c r="F199" s="1" t="str">
        <f>RTD("rtdtrading.rtdserver",, "T&amp;T0", "AGR", 196)</f>
        <v>-</v>
      </c>
      <c r="G199" s="1" t="str">
        <f>RTD("rtdtrading.rtdserver",, "T&amp;T0", "AGAG", 196)</f>
        <v>-</v>
      </c>
    </row>
    <row r="200" spans="1:7" x14ac:dyDescent="0.25">
      <c r="A200" s="1" t="str">
        <f>RTD("rtdtrading.rtdserver",, "T&amp;T0", "DAT", 197)</f>
        <v>-</v>
      </c>
      <c r="B200" s="1" t="str">
        <f>RTD("rtdtrading.rtdserver",, "T&amp;T0", "ACP", 197)</f>
        <v>-</v>
      </c>
      <c r="C200" s="1">
        <f>RTD("rtdtrading.rtdserver",, "T&amp;T0", "PRE", 197)</f>
        <v>0</v>
      </c>
      <c r="D200" s="1">
        <f>RTD("rtdtrading.rtdserver",, "T&amp;T0", "QUL", 197)</f>
        <v>0</v>
      </c>
      <c r="E200" s="1" t="str">
        <f>RTD("rtdtrading.rtdserver",, "T&amp;T0", "AVD", 197)</f>
        <v>-</v>
      </c>
      <c r="F200" s="1" t="str">
        <f>RTD("rtdtrading.rtdserver",, "T&amp;T0", "AGR", 197)</f>
        <v>-</v>
      </c>
      <c r="G200" s="1" t="str">
        <f>RTD("rtdtrading.rtdserver",, "T&amp;T0", "AGAG", 197)</f>
        <v>-</v>
      </c>
    </row>
    <row r="201" spans="1:7" x14ac:dyDescent="0.25">
      <c r="A201" s="1" t="str">
        <f>RTD("rtdtrading.rtdserver",, "T&amp;T0", "DAT", 198)</f>
        <v>-</v>
      </c>
      <c r="B201" s="1" t="str">
        <f>RTD("rtdtrading.rtdserver",, "T&amp;T0", "ACP", 198)</f>
        <v>-</v>
      </c>
      <c r="C201" s="1">
        <f>RTD("rtdtrading.rtdserver",, "T&amp;T0", "PRE", 198)</f>
        <v>0</v>
      </c>
      <c r="D201" s="1">
        <f>RTD("rtdtrading.rtdserver",, "T&amp;T0", "QUL", 198)</f>
        <v>0</v>
      </c>
      <c r="E201" s="1" t="str">
        <f>RTD("rtdtrading.rtdserver",, "T&amp;T0", "AVD", 198)</f>
        <v>-</v>
      </c>
      <c r="F201" s="1" t="str">
        <f>RTD("rtdtrading.rtdserver",, "T&amp;T0", "AGR", 198)</f>
        <v>-</v>
      </c>
      <c r="G201" s="1" t="str">
        <f>RTD("rtdtrading.rtdserver",, "T&amp;T0", "AGAG", 198)</f>
        <v>-</v>
      </c>
    </row>
    <row r="202" spans="1:7" x14ac:dyDescent="0.25">
      <c r="A202" s="1" t="str">
        <f>RTD("rtdtrading.rtdserver",, "T&amp;T0", "DAT", 199)</f>
        <v>-</v>
      </c>
      <c r="B202" s="1" t="str">
        <f>RTD("rtdtrading.rtdserver",, "T&amp;T0", "ACP", 199)</f>
        <v>-</v>
      </c>
      <c r="C202" s="1">
        <f>RTD("rtdtrading.rtdserver",, "T&amp;T0", "PRE", 199)</f>
        <v>0</v>
      </c>
      <c r="D202" s="1">
        <f>RTD("rtdtrading.rtdserver",, "T&amp;T0", "QUL", 199)</f>
        <v>0</v>
      </c>
      <c r="E202" s="1" t="str">
        <f>RTD("rtdtrading.rtdserver",, "T&amp;T0", "AVD", 199)</f>
        <v>-</v>
      </c>
      <c r="F202" s="1" t="str">
        <f>RTD("rtdtrading.rtdserver",, "T&amp;T0", "AGR", 199)</f>
        <v>-</v>
      </c>
      <c r="G202" s="1" t="str">
        <f>RTD("rtdtrading.rtdserver",, "T&amp;T0", "AGAG", 199)</f>
        <v>-</v>
      </c>
    </row>
    <row r="203" spans="1:7" x14ac:dyDescent="0.25">
      <c r="A203" s="1" t="str">
        <f>RTD("rtdtrading.rtdserver",, "T&amp;T0", "DAT", 200)</f>
        <v>-</v>
      </c>
      <c r="B203" s="1" t="str">
        <f>RTD("rtdtrading.rtdserver",, "T&amp;T0", "ACP", 200)</f>
        <v>-</v>
      </c>
      <c r="C203" s="1">
        <f>RTD("rtdtrading.rtdserver",, "T&amp;T0", "PRE", 200)</f>
        <v>0</v>
      </c>
      <c r="D203" s="1">
        <f>RTD("rtdtrading.rtdserver",, "T&amp;T0", "QUL", 200)</f>
        <v>0</v>
      </c>
      <c r="E203" s="1" t="str">
        <f>RTD("rtdtrading.rtdserver",, "T&amp;T0", "AVD", 200)</f>
        <v>-</v>
      </c>
      <c r="F203" s="1" t="str">
        <f>RTD("rtdtrading.rtdserver",, "T&amp;T0", "AGR", 200)</f>
        <v>-</v>
      </c>
      <c r="G203" s="1" t="str">
        <f>RTD("rtdtrading.rtdserver",, "T&amp;T0", "AGAG", 200)</f>
        <v>-</v>
      </c>
    </row>
    <row r="204" spans="1:7" x14ac:dyDescent="0.25">
      <c r="A204" s="1" t="str">
        <f>RTD("rtdtrading.rtdserver",, "T&amp;T0", "DAT", 201)</f>
        <v>-</v>
      </c>
      <c r="B204" s="1" t="str">
        <f>RTD("rtdtrading.rtdserver",, "T&amp;T0", "ACP", 201)</f>
        <v>-</v>
      </c>
      <c r="C204" s="1">
        <f>RTD("rtdtrading.rtdserver",, "T&amp;T0", "PRE", 201)</f>
        <v>0</v>
      </c>
      <c r="D204" s="1">
        <f>RTD("rtdtrading.rtdserver",, "T&amp;T0", "QUL", 201)</f>
        <v>0</v>
      </c>
      <c r="E204" s="1" t="str">
        <f>RTD("rtdtrading.rtdserver",, "T&amp;T0", "AVD", 201)</f>
        <v>-</v>
      </c>
      <c r="F204" s="1" t="str">
        <f>RTD("rtdtrading.rtdserver",, "T&amp;T0", "AGR", 201)</f>
        <v>-</v>
      </c>
      <c r="G204" s="1" t="str">
        <f>RTD("rtdtrading.rtdserver",, "T&amp;T0", "AGAG", 201)</f>
        <v>-</v>
      </c>
    </row>
    <row r="205" spans="1:7" x14ac:dyDescent="0.25">
      <c r="A205" s="1" t="str">
        <f>RTD("rtdtrading.rtdserver",, "T&amp;T0", "DAT", 202)</f>
        <v>-</v>
      </c>
      <c r="B205" s="1" t="str">
        <f>RTD("rtdtrading.rtdserver",, "T&amp;T0", "ACP", 202)</f>
        <v>-</v>
      </c>
      <c r="C205" s="1">
        <f>RTD("rtdtrading.rtdserver",, "T&amp;T0", "PRE", 202)</f>
        <v>0</v>
      </c>
      <c r="D205" s="1">
        <f>RTD("rtdtrading.rtdserver",, "T&amp;T0", "QUL", 202)</f>
        <v>0</v>
      </c>
      <c r="E205" s="1" t="str">
        <f>RTD("rtdtrading.rtdserver",, "T&amp;T0", "AVD", 202)</f>
        <v>-</v>
      </c>
      <c r="F205" s="1" t="str">
        <f>RTD("rtdtrading.rtdserver",, "T&amp;T0", "AGR", 202)</f>
        <v>-</v>
      </c>
      <c r="G205" s="1" t="str">
        <f>RTD("rtdtrading.rtdserver",, "T&amp;T0", "AGAG", 202)</f>
        <v>-</v>
      </c>
    </row>
    <row r="206" spans="1:7" x14ac:dyDescent="0.25">
      <c r="A206" s="1" t="str">
        <f>RTD("rtdtrading.rtdserver",, "T&amp;T0", "DAT", 203)</f>
        <v>-</v>
      </c>
      <c r="B206" s="1" t="str">
        <f>RTD("rtdtrading.rtdserver",, "T&amp;T0", "ACP", 203)</f>
        <v>-</v>
      </c>
      <c r="C206" s="1">
        <f>RTD("rtdtrading.rtdserver",, "T&amp;T0", "PRE", 203)</f>
        <v>0</v>
      </c>
      <c r="D206" s="1">
        <f>RTD("rtdtrading.rtdserver",, "T&amp;T0", "QUL", 203)</f>
        <v>0</v>
      </c>
      <c r="E206" s="1" t="str">
        <f>RTD("rtdtrading.rtdserver",, "T&amp;T0", "AVD", 203)</f>
        <v>-</v>
      </c>
      <c r="F206" s="1" t="str">
        <f>RTD("rtdtrading.rtdserver",, "T&amp;T0", "AGR", 203)</f>
        <v>-</v>
      </c>
      <c r="G206" s="1" t="str">
        <f>RTD("rtdtrading.rtdserver",, "T&amp;T0", "AGAG", 203)</f>
        <v>-</v>
      </c>
    </row>
    <row r="207" spans="1:7" x14ac:dyDescent="0.25">
      <c r="A207" s="1" t="str">
        <f>RTD("rtdtrading.rtdserver",, "T&amp;T0", "DAT", 204)</f>
        <v>-</v>
      </c>
      <c r="B207" s="1" t="str">
        <f>RTD("rtdtrading.rtdserver",, "T&amp;T0", "ACP", 204)</f>
        <v>-</v>
      </c>
      <c r="C207" s="1">
        <f>RTD("rtdtrading.rtdserver",, "T&amp;T0", "PRE", 204)</f>
        <v>0</v>
      </c>
      <c r="D207" s="1">
        <f>RTD("rtdtrading.rtdserver",, "T&amp;T0", "QUL", 204)</f>
        <v>0</v>
      </c>
      <c r="E207" s="1" t="str">
        <f>RTD("rtdtrading.rtdserver",, "T&amp;T0", "AVD", 204)</f>
        <v>-</v>
      </c>
      <c r="F207" s="1" t="str">
        <f>RTD("rtdtrading.rtdserver",, "T&amp;T0", "AGR", 204)</f>
        <v>-</v>
      </c>
      <c r="G207" s="1" t="str">
        <f>RTD("rtdtrading.rtdserver",, "T&amp;T0", "AGAG", 204)</f>
        <v>-</v>
      </c>
    </row>
    <row r="208" spans="1:7" x14ac:dyDescent="0.25">
      <c r="A208" s="1" t="str">
        <f>RTD("rtdtrading.rtdserver",, "T&amp;T0", "DAT", 205)</f>
        <v>-</v>
      </c>
      <c r="B208" s="1" t="str">
        <f>RTD("rtdtrading.rtdserver",, "T&amp;T0", "ACP", 205)</f>
        <v>-</v>
      </c>
      <c r="C208" s="1">
        <f>RTD("rtdtrading.rtdserver",, "T&amp;T0", "PRE", 205)</f>
        <v>0</v>
      </c>
      <c r="D208" s="1">
        <f>RTD("rtdtrading.rtdserver",, "T&amp;T0", "QUL", 205)</f>
        <v>0</v>
      </c>
      <c r="E208" s="1" t="str">
        <f>RTD("rtdtrading.rtdserver",, "T&amp;T0", "AVD", 205)</f>
        <v>-</v>
      </c>
      <c r="F208" s="1" t="str">
        <f>RTD("rtdtrading.rtdserver",, "T&amp;T0", "AGR", 205)</f>
        <v>-</v>
      </c>
      <c r="G208" s="1" t="str">
        <f>RTD("rtdtrading.rtdserver",, "T&amp;T0", "AGAG", 205)</f>
        <v>-</v>
      </c>
    </row>
    <row r="209" spans="1:7" x14ac:dyDescent="0.25">
      <c r="A209" s="1" t="str">
        <f>RTD("rtdtrading.rtdserver",, "T&amp;T0", "DAT", 206)</f>
        <v>-</v>
      </c>
      <c r="B209" s="1" t="str">
        <f>RTD("rtdtrading.rtdserver",, "T&amp;T0", "ACP", 206)</f>
        <v>-</v>
      </c>
      <c r="C209" s="1">
        <f>RTD("rtdtrading.rtdserver",, "T&amp;T0", "PRE", 206)</f>
        <v>0</v>
      </c>
      <c r="D209" s="1">
        <f>RTD("rtdtrading.rtdserver",, "T&amp;T0", "QUL", 206)</f>
        <v>0</v>
      </c>
      <c r="E209" s="1" t="str">
        <f>RTD("rtdtrading.rtdserver",, "T&amp;T0", "AVD", 206)</f>
        <v>-</v>
      </c>
      <c r="F209" s="1" t="str">
        <f>RTD("rtdtrading.rtdserver",, "T&amp;T0", "AGR", 206)</f>
        <v>-</v>
      </c>
      <c r="G209" s="1" t="str">
        <f>RTD("rtdtrading.rtdserver",, "T&amp;T0", "AGAG", 206)</f>
        <v>-</v>
      </c>
    </row>
    <row r="210" spans="1:7" x14ac:dyDescent="0.25">
      <c r="A210" s="1" t="str">
        <f>RTD("rtdtrading.rtdserver",, "T&amp;T0", "DAT", 207)</f>
        <v>-</v>
      </c>
      <c r="B210" s="1" t="str">
        <f>RTD("rtdtrading.rtdserver",, "T&amp;T0", "ACP", 207)</f>
        <v>-</v>
      </c>
      <c r="C210" s="1">
        <f>RTD("rtdtrading.rtdserver",, "T&amp;T0", "PRE", 207)</f>
        <v>0</v>
      </c>
      <c r="D210" s="1">
        <f>RTD("rtdtrading.rtdserver",, "T&amp;T0", "QUL", 207)</f>
        <v>0</v>
      </c>
      <c r="E210" s="1" t="str">
        <f>RTD("rtdtrading.rtdserver",, "T&amp;T0", "AVD", 207)</f>
        <v>-</v>
      </c>
      <c r="F210" s="1" t="str">
        <f>RTD("rtdtrading.rtdserver",, "T&amp;T0", "AGR", 207)</f>
        <v>-</v>
      </c>
      <c r="G210" s="1" t="str">
        <f>RTD("rtdtrading.rtdserver",, "T&amp;T0", "AGAG", 207)</f>
        <v>-</v>
      </c>
    </row>
    <row r="211" spans="1:7" x14ac:dyDescent="0.25">
      <c r="A211" s="1" t="str">
        <f>RTD("rtdtrading.rtdserver",, "T&amp;T0", "DAT", 208)</f>
        <v>-</v>
      </c>
      <c r="B211" s="1" t="str">
        <f>RTD("rtdtrading.rtdserver",, "T&amp;T0", "ACP", 208)</f>
        <v>-</v>
      </c>
      <c r="C211" s="1">
        <f>RTD("rtdtrading.rtdserver",, "T&amp;T0", "PRE", 208)</f>
        <v>0</v>
      </c>
      <c r="D211" s="1">
        <f>RTD("rtdtrading.rtdserver",, "T&amp;T0", "QUL", 208)</f>
        <v>0</v>
      </c>
      <c r="E211" s="1" t="str">
        <f>RTD("rtdtrading.rtdserver",, "T&amp;T0", "AVD", 208)</f>
        <v>-</v>
      </c>
      <c r="F211" s="1" t="str">
        <f>RTD("rtdtrading.rtdserver",, "T&amp;T0", "AGR", 208)</f>
        <v>-</v>
      </c>
      <c r="G211" s="1" t="str">
        <f>RTD("rtdtrading.rtdserver",, "T&amp;T0", "AGAG", 208)</f>
        <v>-</v>
      </c>
    </row>
    <row r="212" spans="1:7" x14ac:dyDescent="0.25">
      <c r="A212" s="1" t="str">
        <f>RTD("rtdtrading.rtdserver",, "T&amp;T0", "DAT", 209)</f>
        <v>-</v>
      </c>
      <c r="B212" s="1" t="str">
        <f>RTD("rtdtrading.rtdserver",, "T&amp;T0", "ACP", 209)</f>
        <v>-</v>
      </c>
      <c r="C212" s="1">
        <f>RTD("rtdtrading.rtdserver",, "T&amp;T0", "PRE", 209)</f>
        <v>0</v>
      </c>
      <c r="D212" s="1">
        <f>RTD("rtdtrading.rtdserver",, "T&amp;T0", "QUL", 209)</f>
        <v>0</v>
      </c>
      <c r="E212" s="1" t="str">
        <f>RTD("rtdtrading.rtdserver",, "T&amp;T0", "AVD", 209)</f>
        <v>-</v>
      </c>
      <c r="F212" s="1" t="str">
        <f>RTD("rtdtrading.rtdserver",, "T&amp;T0", "AGR", 209)</f>
        <v>-</v>
      </c>
      <c r="G212" s="1" t="str">
        <f>RTD("rtdtrading.rtdserver",, "T&amp;T0", "AGAG", 209)</f>
        <v>-</v>
      </c>
    </row>
    <row r="213" spans="1:7" x14ac:dyDescent="0.25">
      <c r="A213" s="1" t="str">
        <f>RTD("rtdtrading.rtdserver",, "T&amp;T0", "DAT", 210)</f>
        <v>-</v>
      </c>
      <c r="B213" s="1" t="str">
        <f>RTD("rtdtrading.rtdserver",, "T&amp;T0", "ACP", 210)</f>
        <v>-</v>
      </c>
      <c r="C213" s="1">
        <f>RTD("rtdtrading.rtdserver",, "T&amp;T0", "PRE", 210)</f>
        <v>0</v>
      </c>
      <c r="D213" s="1">
        <f>RTD("rtdtrading.rtdserver",, "T&amp;T0", "QUL", 210)</f>
        <v>0</v>
      </c>
      <c r="E213" s="1" t="str">
        <f>RTD("rtdtrading.rtdserver",, "T&amp;T0", "AVD", 210)</f>
        <v>-</v>
      </c>
      <c r="F213" s="1" t="str">
        <f>RTD("rtdtrading.rtdserver",, "T&amp;T0", "AGR", 210)</f>
        <v>-</v>
      </c>
      <c r="G213" s="1" t="str">
        <f>RTD("rtdtrading.rtdserver",, "T&amp;T0", "AGAG", 210)</f>
        <v>-</v>
      </c>
    </row>
    <row r="214" spans="1:7" x14ac:dyDescent="0.25">
      <c r="A214" s="1" t="str">
        <f>RTD("rtdtrading.rtdserver",, "T&amp;T0", "DAT", 211)</f>
        <v>-</v>
      </c>
      <c r="B214" s="1" t="str">
        <f>RTD("rtdtrading.rtdserver",, "T&amp;T0", "ACP", 211)</f>
        <v>-</v>
      </c>
      <c r="C214" s="1">
        <f>RTD("rtdtrading.rtdserver",, "T&amp;T0", "PRE", 211)</f>
        <v>0</v>
      </c>
      <c r="D214" s="1">
        <f>RTD("rtdtrading.rtdserver",, "T&amp;T0", "QUL", 211)</f>
        <v>0</v>
      </c>
      <c r="E214" s="1" t="str">
        <f>RTD("rtdtrading.rtdserver",, "T&amp;T0", "AVD", 211)</f>
        <v>-</v>
      </c>
      <c r="F214" s="1" t="str">
        <f>RTD("rtdtrading.rtdserver",, "T&amp;T0", "AGR", 211)</f>
        <v>-</v>
      </c>
      <c r="G214" s="1" t="str">
        <f>RTD("rtdtrading.rtdserver",, "T&amp;T0", "AGAG", 211)</f>
        <v>-</v>
      </c>
    </row>
    <row r="215" spans="1:7" x14ac:dyDescent="0.25">
      <c r="A215" s="1" t="str">
        <f>RTD("rtdtrading.rtdserver",, "T&amp;T0", "DAT", 212)</f>
        <v>-</v>
      </c>
      <c r="B215" s="1" t="str">
        <f>RTD("rtdtrading.rtdserver",, "T&amp;T0", "ACP", 212)</f>
        <v>-</v>
      </c>
      <c r="C215" s="1">
        <f>RTD("rtdtrading.rtdserver",, "T&amp;T0", "PRE", 212)</f>
        <v>0</v>
      </c>
      <c r="D215" s="1">
        <f>RTD("rtdtrading.rtdserver",, "T&amp;T0", "QUL", 212)</f>
        <v>0</v>
      </c>
      <c r="E215" s="1" t="str">
        <f>RTD("rtdtrading.rtdserver",, "T&amp;T0", "AVD", 212)</f>
        <v>-</v>
      </c>
      <c r="F215" s="1" t="str">
        <f>RTD("rtdtrading.rtdserver",, "T&amp;T0", "AGR", 212)</f>
        <v>-</v>
      </c>
      <c r="G215" s="1" t="str">
        <f>RTD("rtdtrading.rtdserver",, "T&amp;T0", "AGAG", 212)</f>
        <v>-</v>
      </c>
    </row>
    <row r="216" spans="1:7" x14ac:dyDescent="0.25">
      <c r="A216" s="1" t="str">
        <f>RTD("rtdtrading.rtdserver",, "T&amp;T0", "DAT", 213)</f>
        <v>-</v>
      </c>
      <c r="B216" s="1" t="str">
        <f>RTD("rtdtrading.rtdserver",, "T&amp;T0", "ACP", 213)</f>
        <v>-</v>
      </c>
      <c r="C216" s="1">
        <f>RTD("rtdtrading.rtdserver",, "T&amp;T0", "PRE", 213)</f>
        <v>0</v>
      </c>
      <c r="D216" s="1">
        <f>RTD("rtdtrading.rtdserver",, "T&amp;T0", "QUL", 213)</f>
        <v>0</v>
      </c>
      <c r="E216" s="1" t="str">
        <f>RTD("rtdtrading.rtdserver",, "T&amp;T0", "AVD", 213)</f>
        <v>-</v>
      </c>
      <c r="F216" s="1" t="str">
        <f>RTD("rtdtrading.rtdserver",, "T&amp;T0", "AGR", 213)</f>
        <v>-</v>
      </c>
      <c r="G216" s="1" t="str">
        <f>RTD("rtdtrading.rtdserver",, "T&amp;T0", "AGAG", 213)</f>
        <v>-</v>
      </c>
    </row>
    <row r="217" spans="1:7" x14ac:dyDescent="0.25">
      <c r="A217" s="1" t="str">
        <f>RTD("rtdtrading.rtdserver",, "T&amp;T0", "DAT", 214)</f>
        <v>-</v>
      </c>
      <c r="B217" s="1" t="str">
        <f>RTD("rtdtrading.rtdserver",, "T&amp;T0", "ACP", 214)</f>
        <v>-</v>
      </c>
      <c r="C217" s="1">
        <f>RTD("rtdtrading.rtdserver",, "T&amp;T0", "PRE", 214)</f>
        <v>0</v>
      </c>
      <c r="D217" s="1">
        <f>RTD("rtdtrading.rtdserver",, "T&amp;T0", "QUL", 214)</f>
        <v>0</v>
      </c>
      <c r="E217" s="1" t="str">
        <f>RTD("rtdtrading.rtdserver",, "T&amp;T0", "AVD", 214)</f>
        <v>-</v>
      </c>
      <c r="F217" s="1" t="str">
        <f>RTD("rtdtrading.rtdserver",, "T&amp;T0", "AGR", 214)</f>
        <v>-</v>
      </c>
      <c r="G217" s="1" t="str">
        <f>RTD("rtdtrading.rtdserver",, "T&amp;T0", "AGAG", 214)</f>
        <v>-</v>
      </c>
    </row>
    <row r="218" spans="1:7" x14ac:dyDescent="0.25">
      <c r="A218" s="1" t="str">
        <f>RTD("rtdtrading.rtdserver",, "T&amp;T0", "DAT", 215)</f>
        <v>-</v>
      </c>
      <c r="B218" s="1" t="str">
        <f>RTD("rtdtrading.rtdserver",, "T&amp;T0", "ACP", 215)</f>
        <v>-</v>
      </c>
      <c r="C218" s="1">
        <f>RTD("rtdtrading.rtdserver",, "T&amp;T0", "PRE", 215)</f>
        <v>0</v>
      </c>
      <c r="D218" s="1">
        <f>RTD("rtdtrading.rtdserver",, "T&amp;T0", "QUL", 215)</f>
        <v>0</v>
      </c>
      <c r="E218" s="1" t="str">
        <f>RTD("rtdtrading.rtdserver",, "T&amp;T0", "AVD", 215)</f>
        <v>-</v>
      </c>
      <c r="F218" s="1" t="str">
        <f>RTD("rtdtrading.rtdserver",, "T&amp;T0", "AGR", 215)</f>
        <v>-</v>
      </c>
      <c r="G218" s="1" t="str">
        <f>RTD("rtdtrading.rtdserver",, "T&amp;T0", "AGAG", 215)</f>
        <v>-</v>
      </c>
    </row>
    <row r="219" spans="1:7" x14ac:dyDescent="0.25">
      <c r="A219" s="1" t="str">
        <f>RTD("rtdtrading.rtdserver",, "T&amp;T0", "DAT", 216)</f>
        <v>-</v>
      </c>
      <c r="B219" s="1" t="str">
        <f>RTD("rtdtrading.rtdserver",, "T&amp;T0", "ACP", 216)</f>
        <v>-</v>
      </c>
      <c r="C219" s="1">
        <f>RTD("rtdtrading.rtdserver",, "T&amp;T0", "PRE", 216)</f>
        <v>0</v>
      </c>
      <c r="D219" s="1">
        <f>RTD("rtdtrading.rtdserver",, "T&amp;T0", "QUL", 216)</f>
        <v>0</v>
      </c>
      <c r="E219" s="1" t="str">
        <f>RTD("rtdtrading.rtdserver",, "T&amp;T0", "AVD", 216)</f>
        <v>-</v>
      </c>
      <c r="F219" s="1" t="str">
        <f>RTD("rtdtrading.rtdserver",, "T&amp;T0", "AGR", 216)</f>
        <v>-</v>
      </c>
      <c r="G219" s="1" t="str">
        <f>RTD("rtdtrading.rtdserver",, "T&amp;T0", "AGAG", 216)</f>
        <v>-</v>
      </c>
    </row>
    <row r="220" spans="1:7" x14ac:dyDescent="0.25">
      <c r="A220" s="1" t="str">
        <f>RTD("rtdtrading.rtdserver",, "T&amp;T0", "DAT", 217)</f>
        <v>-</v>
      </c>
      <c r="B220" s="1" t="str">
        <f>RTD("rtdtrading.rtdserver",, "T&amp;T0", "ACP", 217)</f>
        <v>-</v>
      </c>
      <c r="C220" s="1">
        <f>RTD("rtdtrading.rtdserver",, "T&amp;T0", "PRE", 217)</f>
        <v>0</v>
      </c>
      <c r="D220" s="1">
        <f>RTD("rtdtrading.rtdserver",, "T&amp;T0", "QUL", 217)</f>
        <v>0</v>
      </c>
      <c r="E220" s="1" t="str">
        <f>RTD("rtdtrading.rtdserver",, "T&amp;T0", "AVD", 217)</f>
        <v>-</v>
      </c>
      <c r="F220" s="1" t="str">
        <f>RTD("rtdtrading.rtdserver",, "T&amp;T0", "AGR", 217)</f>
        <v>-</v>
      </c>
      <c r="G220" s="1" t="str">
        <f>RTD("rtdtrading.rtdserver",, "T&amp;T0", "AGAG", 217)</f>
        <v>-</v>
      </c>
    </row>
    <row r="221" spans="1:7" x14ac:dyDescent="0.25">
      <c r="A221" s="1" t="str">
        <f>RTD("rtdtrading.rtdserver",, "T&amp;T0", "DAT", 218)</f>
        <v>-</v>
      </c>
      <c r="B221" s="1" t="str">
        <f>RTD("rtdtrading.rtdserver",, "T&amp;T0", "ACP", 218)</f>
        <v>-</v>
      </c>
      <c r="C221" s="1">
        <f>RTD("rtdtrading.rtdserver",, "T&amp;T0", "PRE", 218)</f>
        <v>0</v>
      </c>
      <c r="D221" s="1">
        <f>RTD("rtdtrading.rtdserver",, "T&amp;T0", "QUL", 218)</f>
        <v>0</v>
      </c>
      <c r="E221" s="1" t="str">
        <f>RTD("rtdtrading.rtdserver",, "T&amp;T0", "AVD", 218)</f>
        <v>-</v>
      </c>
      <c r="F221" s="1" t="str">
        <f>RTD("rtdtrading.rtdserver",, "T&amp;T0", "AGR", 218)</f>
        <v>-</v>
      </c>
      <c r="G221" s="1" t="str">
        <f>RTD("rtdtrading.rtdserver",, "T&amp;T0", "AGAG", 218)</f>
        <v>-</v>
      </c>
    </row>
    <row r="222" spans="1:7" x14ac:dyDescent="0.25">
      <c r="A222" s="1" t="str">
        <f>RTD("rtdtrading.rtdserver",, "T&amp;T0", "DAT", 219)</f>
        <v>-</v>
      </c>
      <c r="B222" s="1" t="str">
        <f>RTD("rtdtrading.rtdserver",, "T&amp;T0", "ACP", 219)</f>
        <v>-</v>
      </c>
      <c r="C222" s="1">
        <f>RTD("rtdtrading.rtdserver",, "T&amp;T0", "PRE", 219)</f>
        <v>0</v>
      </c>
      <c r="D222" s="1">
        <f>RTD("rtdtrading.rtdserver",, "T&amp;T0", "QUL", 219)</f>
        <v>0</v>
      </c>
      <c r="E222" s="1" t="str">
        <f>RTD("rtdtrading.rtdserver",, "T&amp;T0", "AVD", 219)</f>
        <v>-</v>
      </c>
      <c r="F222" s="1" t="str">
        <f>RTD("rtdtrading.rtdserver",, "T&amp;T0", "AGR", 219)</f>
        <v>-</v>
      </c>
      <c r="G222" s="1" t="str">
        <f>RTD("rtdtrading.rtdserver",, "T&amp;T0", "AGAG", 219)</f>
        <v>-</v>
      </c>
    </row>
    <row r="223" spans="1:7" x14ac:dyDescent="0.25">
      <c r="A223" s="1" t="str">
        <f>RTD("rtdtrading.rtdserver",, "T&amp;T0", "DAT", 220)</f>
        <v>-</v>
      </c>
      <c r="B223" s="1" t="str">
        <f>RTD("rtdtrading.rtdserver",, "T&amp;T0", "ACP", 220)</f>
        <v>-</v>
      </c>
      <c r="C223" s="1">
        <f>RTD("rtdtrading.rtdserver",, "T&amp;T0", "PRE", 220)</f>
        <v>0</v>
      </c>
      <c r="D223" s="1">
        <f>RTD("rtdtrading.rtdserver",, "T&amp;T0", "QUL", 220)</f>
        <v>0</v>
      </c>
      <c r="E223" s="1" t="str">
        <f>RTD("rtdtrading.rtdserver",, "T&amp;T0", "AVD", 220)</f>
        <v>-</v>
      </c>
      <c r="F223" s="1" t="str">
        <f>RTD("rtdtrading.rtdserver",, "T&amp;T0", "AGR", 220)</f>
        <v>-</v>
      </c>
      <c r="G223" s="1" t="str">
        <f>RTD("rtdtrading.rtdserver",, "T&amp;T0", "AGAG", 220)</f>
        <v>-</v>
      </c>
    </row>
    <row r="224" spans="1:7" x14ac:dyDescent="0.25">
      <c r="A224" s="1" t="str">
        <f>RTD("rtdtrading.rtdserver",, "T&amp;T0", "DAT", 221)</f>
        <v>-</v>
      </c>
      <c r="B224" s="1" t="str">
        <f>RTD("rtdtrading.rtdserver",, "T&amp;T0", "ACP", 221)</f>
        <v>-</v>
      </c>
      <c r="C224" s="1">
        <f>RTD("rtdtrading.rtdserver",, "T&amp;T0", "PRE", 221)</f>
        <v>0</v>
      </c>
      <c r="D224" s="1">
        <f>RTD("rtdtrading.rtdserver",, "T&amp;T0", "QUL", 221)</f>
        <v>0</v>
      </c>
      <c r="E224" s="1" t="str">
        <f>RTD("rtdtrading.rtdserver",, "T&amp;T0", "AVD", 221)</f>
        <v>-</v>
      </c>
      <c r="F224" s="1" t="str">
        <f>RTD("rtdtrading.rtdserver",, "T&amp;T0", "AGR", 221)</f>
        <v>-</v>
      </c>
      <c r="G224" s="1" t="str">
        <f>RTD("rtdtrading.rtdserver",, "T&amp;T0", "AGAG", 221)</f>
        <v>-</v>
      </c>
    </row>
    <row r="225" spans="1:7" x14ac:dyDescent="0.25">
      <c r="A225" s="1" t="str">
        <f>RTD("rtdtrading.rtdserver",, "T&amp;T0", "DAT", 222)</f>
        <v>-</v>
      </c>
      <c r="B225" s="1" t="str">
        <f>RTD("rtdtrading.rtdserver",, "T&amp;T0", "ACP", 222)</f>
        <v>-</v>
      </c>
      <c r="C225" s="1">
        <f>RTD("rtdtrading.rtdserver",, "T&amp;T0", "PRE", 222)</f>
        <v>0</v>
      </c>
      <c r="D225" s="1">
        <f>RTD("rtdtrading.rtdserver",, "T&amp;T0", "QUL", 222)</f>
        <v>0</v>
      </c>
      <c r="E225" s="1" t="str">
        <f>RTD("rtdtrading.rtdserver",, "T&amp;T0", "AVD", 222)</f>
        <v>-</v>
      </c>
      <c r="F225" s="1" t="str">
        <f>RTD("rtdtrading.rtdserver",, "T&amp;T0", "AGR", 222)</f>
        <v>-</v>
      </c>
      <c r="G225" s="1" t="str">
        <f>RTD("rtdtrading.rtdserver",, "T&amp;T0", "AGAG", 222)</f>
        <v>-</v>
      </c>
    </row>
    <row r="226" spans="1:7" x14ac:dyDescent="0.25">
      <c r="A226" s="1" t="str">
        <f>RTD("rtdtrading.rtdserver",, "T&amp;T0", "DAT", 223)</f>
        <v>-</v>
      </c>
      <c r="B226" s="1" t="str">
        <f>RTD("rtdtrading.rtdserver",, "T&amp;T0", "ACP", 223)</f>
        <v>-</v>
      </c>
      <c r="C226" s="1">
        <f>RTD("rtdtrading.rtdserver",, "T&amp;T0", "PRE", 223)</f>
        <v>0</v>
      </c>
      <c r="D226" s="1">
        <f>RTD("rtdtrading.rtdserver",, "T&amp;T0", "QUL", 223)</f>
        <v>0</v>
      </c>
      <c r="E226" s="1" t="str">
        <f>RTD("rtdtrading.rtdserver",, "T&amp;T0", "AVD", 223)</f>
        <v>-</v>
      </c>
      <c r="F226" s="1" t="str">
        <f>RTD("rtdtrading.rtdserver",, "T&amp;T0", "AGR", 223)</f>
        <v>-</v>
      </c>
      <c r="G226" s="1" t="str">
        <f>RTD("rtdtrading.rtdserver",, "T&amp;T0", "AGAG", 223)</f>
        <v>-</v>
      </c>
    </row>
    <row r="227" spans="1:7" x14ac:dyDescent="0.25">
      <c r="A227" s="1" t="str">
        <f>RTD("rtdtrading.rtdserver",, "T&amp;T0", "DAT", 224)</f>
        <v>-</v>
      </c>
      <c r="B227" s="1" t="str">
        <f>RTD("rtdtrading.rtdserver",, "T&amp;T0", "ACP", 224)</f>
        <v>-</v>
      </c>
      <c r="C227" s="1">
        <f>RTD("rtdtrading.rtdserver",, "T&amp;T0", "PRE", 224)</f>
        <v>0</v>
      </c>
      <c r="D227" s="1">
        <f>RTD("rtdtrading.rtdserver",, "T&amp;T0", "QUL", 224)</f>
        <v>0</v>
      </c>
      <c r="E227" s="1" t="str">
        <f>RTD("rtdtrading.rtdserver",, "T&amp;T0", "AVD", 224)</f>
        <v>-</v>
      </c>
      <c r="F227" s="1" t="str">
        <f>RTD("rtdtrading.rtdserver",, "T&amp;T0", "AGR", 224)</f>
        <v>-</v>
      </c>
      <c r="G227" s="1" t="str">
        <f>RTD("rtdtrading.rtdserver",, "T&amp;T0", "AGAG", 224)</f>
        <v>-</v>
      </c>
    </row>
    <row r="228" spans="1:7" x14ac:dyDescent="0.25">
      <c r="A228" s="1" t="str">
        <f>RTD("rtdtrading.rtdserver",, "T&amp;T0", "DAT", 225)</f>
        <v>-</v>
      </c>
      <c r="B228" s="1" t="str">
        <f>RTD("rtdtrading.rtdserver",, "T&amp;T0", "ACP", 225)</f>
        <v>-</v>
      </c>
      <c r="C228" s="1">
        <f>RTD("rtdtrading.rtdserver",, "T&amp;T0", "PRE", 225)</f>
        <v>0</v>
      </c>
      <c r="D228" s="1">
        <f>RTD("rtdtrading.rtdserver",, "T&amp;T0", "QUL", 225)</f>
        <v>0</v>
      </c>
      <c r="E228" s="1" t="str">
        <f>RTD("rtdtrading.rtdserver",, "T&amp;T0", "AVD", 225)</f>
        <v>-</v>
      </c>
      <c r="F228" s="1" t="str">
        <f>RTD("rtdtrading.rtdserver",, "T&amp;T0", "AGR", 225)</f>
        <v>-</v>
      </c>
      <c r="G228" s="1" t="str">
        <f>RTD("rtdtrading.rtdserver",, "T&amp;T0", "AGAG", 225)</f>
        <v>-</v>
      </c>
    </row>
    <row r="229" spans="1:7" x14ac:dyDescent="0.25">
      <c r="A229" s="1" t="str">
        <f>RTD("rtdtrading.rtdserver",, "T&amp;T0", "DAT", 226)</f>
        <v>-</v>
      </c>
      <c r="B229" s="1" t="str">
        <f>RTD("rtdtrading.rtdserver",, "T&amp;T0", "ACP", 226)</f>
        <v>-</v>
      </c>
      <c r="C229" s="1">
        <f>RTD("rtdtrading.rtdserver",, "T&amp;T0", "PRE", 226)</f>
        <v>0</v>
      </c>
      <c r="D229" s="1">
        <f>RTD("rtdtrading.rtdserver",, "T&amp;T0", "QUL", 226)</f>
        <v>0</v>
      </c>
      <c r="E229" s="1" t="str">
        <f>RTD("rtdtrading.rtdserver",, "T&amp;T0", "AVD", 226)</f>
        <v>-</v>
      </c>
      <c r="F229" s="1" t="str">
        <f>RTD("rtdtrading.rtdserver",, "T&amp;T0", "AGR", 226)</f>
        <v>-</v>
      </c>
      <c r="G229" s="1" t="str">
        <f>RTD("rtdtrading.rtdserver",, "T&amp;T0", "AGAG", 226)</f>
        <v>-</v>
      </c>
    </row>
    <row r="230" spans="1:7" x14ac:dyDescent="0.25">
      <c r="A230" s="1" t="str">
        <f>RTD("rtdtrading.rtdserver",, "T&amp;T0", "DAT", 227)</f>
        <v>-</v>
      </c>
      <c r="B230" s="1" t="str">
        <f>RTD("rtdtrading.rtdserver",, "T&amp;T0", "ACP", 227)</f>
        <v>-</v>
      </c>
      <c r="C230" s="1">
        <f>RTD("rtdtrading.rtdserver",, "T&amp;T0", "PRE", 227)</f>
        <v>0</v>
      </c>
      <c r="D230" s="1">
        <f>RTD("rtdtrading.rtdserver",, "T&amp;T0", "QUL", 227)</f>
        <v>0</v>
      </c>
      <c r="E230" s="1" t="str">
        <f>RTD("rtdtrading.rtdserver",, "T&amp;T0", "AVD", 227)</f>
        <v>-</v>
      </c>
      <c r="F230" s="1" t="str">
        <f>RTD("rtdtrading.rtdserver",, "T&amp;T0", "AGR", 227)</f>
        <v>-</v>
      </c>
      <c r="G230" s="1" t="str">
        <f>RTD("rtdtrading.rtdserver",, "T&amp;T0", "AGAG", 227)</f>
        <v>-</v>
      </c>
    </row>
    <row r="231" spans="1:7" x14ac:dyDescent="0.25">
      <c r="A231" s="1" t="str">
        <f>RTD("rtdtrading.rtdserver",, "T&amp;T0", "DAT", 228)</f>
        <v>-</v>
      </c>
      <c r="B231" s="1" t="str">
        <f>RTD("rtdtrading.rtdserver",, "T&amp;T0", "ACP", 228)</f>
        <v>-</v>
      </c>
      <c r="C231" s="1">
        <f>RTD("rtdtrading.rtdserver",, "T&amp;T0", "PRE", 228)</f>
        <v>0</v>
      </c>
      <c r="D231" s="1">
        <f>RTD("rtdtrading.rtdserver",, "T&amp;T0", "QUL", 228)</f>
        <v>0</v>
      </c>
      <c r="E231" s="1" t="str">
        <f>RTD("rtdtrading.rtdserver",, "T&amp;T0", "AVD", 228)</f>
        <v>-</v>
      </c>
      <c r="F231" s="1" t="str">
        <f>RTD("rtdtrading.rtdserver",, "T&amp;T0", "AGR", 228)</f>
        <v>-</v>
      </c>
      <c r="G231" s="1" t="str">
        <f>RTD("rtdtrading.rtdserver",, "T&amp;T0", "AGAG", 228)</f>
        <v>-</v>
      </c>
    </row>
    <row r="232" spans="1:7" x14ac:dyDescent="0.25">
      <c r="A232" s="1" t="str">
        <f>RTD("rtdtrading.rtdserver",, "T&amp;T0", "DAT", 229)</f>
        <v>-</v>
      </c>
      <c r="B232" s="1" t="str">
        <f>RTD("rtdtrading.rtdserver",, "T&amp;T0", "ACP", 229)</f>
        <v>-</v>
      </c>
      <c r="C232" s="1">
        <f>RTD("rtdtrading.rtdserver",, "T&amp;T0", "PRE", 229)</f>
        <v>0</v>
      </c>
      <c r="D232" s="1">
        <f>RTD("rtdtrading.rtdserver",, "T&amp;T0", "QUL", 229)</f>
        <v>0</v>
      </c>
      <c r="E232" s="1" t="str">
        <f>RTD("rtdtrading.rtdserver",, "T&amp;T0", "AVD", 229)</f>
        <v>-</v>
      </c>
      <c r="F232" s="1" t="str">
        <f>RTD("rtdtrading.rtdserver",, "T&amp;T0", "AGR", 229)</f>
        <v>-</v>
      </c>
      <c r="G232" s="1" t="str">
        <f>RTD("rtdtrading.rtdserver",, "T&amp;T0", "AGAG", 229)</f>
        <v>-</v>
      </c>
    </row>
    <row r="233" spans="1:7" x14ac:dyDescent="0.25">
      <c r="A233" s="1" t="str">
        <f>RTD("rtdtrading.rtdserver",, "T&amp;T0", "DAT", 230)</f>
        <v>-</v>
      </c>
      <c r="B233" s="1" t="str">
        <f>RTD("rtdtrading.rtdserver",, "T&amp;T0", "ACP", 230)</f>
        <v>-</v>
      </c>
      <c r="C233" s="1">
        <f>RTD("rtdtrading.rtdserver",, "T&amp;T0", "PRE", 230)</f>
        <v>0</v>
      </c>
      <c r="D233" s="1">
        <f>RTD("rtdtrading.rtdserver",, "T&amp;T0", "QUL", 230)</f>
        <v>0</v>
      </c>
      <c r="E233" s="1" t="str">
        <f>RTD("rtdtrading.rtdserver",, "T&amp;T0", "AVD", 230)</f>
        <v>-</v>
      </c>
      <c r="F233" s="1" t="str">
        <f>RTD("rtdtrading.rtdserver",, "T&amp;T0", "AGR", 230)</f>
        <v>-</v>
      </c>
      <c r="G233" s="1" t="str">
        <f>RTD("rtdtrading.rtdserver",, "T&amp;T0", "AGAG", 230)</f>
        <v>-</v>
      </c>
    </row>
    <row r="234" spans="1:7" x14ac:dyDescent="0.25">
      <c r="A234" s="1" t="str">
        <f>RTD("rtdtrading.rtdserver",, "T&amp;T0", "DAT", 231)</f>
        <v>-</v>
      </c>
      <c r="B234" s="1" t="str">
        <f>RTD("rtdtrading.rtdserver",, "T&amp;T0", "ACP", 231)</f>
        <v>-</v>
      </c>
      <c r="C234" s="1">
        <f>RTD("rtdtrading.rtdserver",, "T&amp;T0", "PRE", 231)</f>
        <v>0</v>
      </c>
      <c r="D234" s="1">
        <f>RTD("rtdtrading.rtdserver",, "T&amp;T0", "QUL", 231)</f>
        <v>0</v>
      </c>
      <c r="E234" s="1" t="str">
        <f>RTD("rtdtrading.rtdserver",, "T&amp;T0", "AVD", 231)</f>
        <v>-</v>
      </c>
      <c r="F234" s="1" t="str">
        <f>RTD("rtdtrading.rtdserver",, "T&amp;T0", "AGR", 231)</f>
        <v>-</v>
      </c>
      <c r="G234" s="1" t="str">
        <f>RTD("rtdtrading.rtdserver",, "T&amp;T0", "AGAG", 231)</f>
        <v>-</v>
      </c>
    </row>
    <row r="235" spans="1:7" x14ac:dyDescent="0.25">
      <c r="A235" s="1" t="str">
        <f>RTD("rtdtrading.rtdserver",, "T&amp;T0", "DAT", 232)</f>
        <v>-</v>
      </c>
      <c r="B235" s="1" t="str">
        <f>RTD("rtdtrading.rtdserver",, "T&amp;T0", "ACP", 232)</f>
        <v>-</v>
      </c>
      <c r="C235" s="1">
        <f>RTD("rtdtrading.rtdserver",, "T&amp;T0", "PRE", 232)</f>
        <v>0</v>
      </c>
      <c r="D235" s="1">
        <f>RTD("rtdtrading.rtdserver",, "T&amp;T0", "QUL", 232)</f>
        <v>0</v>
      </c>
      <c r="E235" s="1" t="str">
        <f>RTD("rtdtrading.rtdserver",, "T&amp;T0", "AVD", 232)</f>
        <v>-</v>
      </c>
      <c r="F235" s="1" t="str">
        <f>RTD("rtdtrading.rtdserver",, "T&amp;T0", "AGR", 232)</f>
        <v>-</v>
      </c>
      <c r="G235" s="1" t="str">
        <f>RTD("rtdtrading.rtdserver",, "T&amp;T0", "AGAG", 232)</f>
        <v>-</v>
      </c>
    </row>
    <row r="236" spans="1:7" x14ac:dyDescent="0.25">
      <c r="A236" s="1" t="str">
        <f>RTD("rtdtrading.rtdserver",, "T&amp;T0", "DAT", 233)</f>
        <v>-</v>
      </c>
      <c r="B236" s="1" t="str">
        <f>RTD("rtdtrading.rtdserver",, "T&amp;T0", "ACP", 233)</f>
        <v>-</v>
      </c>
      <c r="C236" s="1">
        <f>RTD("rtdtrading.rtdserver",, "T&amp;T0", "PRE", 233)</f>
        <v>0</v>
      </c>
      <c r="D236" s="1">
        <f>RTD("rtdtrading.rtdserver",, "T&amp;T0", "QUL", 233)</f>
        <v>0</v>
      </c>
      <c r="E236" s="1" t="str">
        <f>RTD("rtdtrading.rtdserver",, "T&amp;T0", "AVD", 233)</f>
        <v>-</v>
      </c>
      <c r="F236" s="1" t="str">
        <f>RTD("rtdtrading.rtdserver",, "T&amp;T0", "AGR", 233)</f>
        <v>-</v>
      </c>
      <c r="G236" s="1" t="str">
        <f>RTD("rtdtrading.rtdserver",, "T&amp;T0", "AGAG", 233)</f>
        <v>-</v>
      </c>
    </row>
    <row r="237" spans="1:7" x14ac:dyDescent="0.25">
      <c r="A237" s="1" t="str">
        <f>RTD("rtdtrading.rtdserver",, "T&amp;T0", "DAT", 234)</f>
        <v>-</v>
      </c>
      <c r="B237" s="1" t="str">
        <f>RTD("rtdtrading.rtdserver",, "T&amp;T0", "ACP", 234)</f>
        <v>-</v>
      </c>
      <c r="C237" s="1">
        <f>RTD("rtdtrading.rtdserver",, "T&amp;T0", "PRE", 234)</f>
        <v>0</v>
      </c>
      <c r="D237" s="1">
        <f>RTD("rtdtrading.rtdserver",, "T&amp;T0", "QUL", 234)</f>
        <v>0</v>
      </c>
      <c r="E237" s="1" t="str">
        <f>RTD("rtdtrading.rtdserver",, "T&amp;T0", "AVD", 234)</f>
        <v>-</v>
      </c>
      <c r="F237" s="1" t="str">
        <f>RTD("rtdtrading.rtdserver",, "T&amp;T0", "AGR", 234)</f>
        <v>-</v>
      </c>
      <c r="G237" s="1" t="str">
        <f>RTD("rtdtrading.rtdserver",, "T&amp;T0", "AGAG", 234)</f>
        <v>-</v>
      </c>
    </row>
    <row r="238" spans="1:7" x14ac:dyDescent="0.25">
      <c r="A238" s="1" t="str">
        <f>RTD("rtdtrading.rtdserver",, "T&amp;T0", "DAT", 235)</f>
        <v>-</v>
      </c>
      <c r="B238" s="1" t="str">
        <f>RTD("rtdtrading.rtdserver",, "T&amp;T0", "ACP", 235)</f>
        <v>-</v>
      </c>
      <c r="C238" s="1">
        <f>RTD("rtdtrading.rtdserver",, "T&amp;T0", "PRE", 235)</f>
        <v>0</v>
      </c>
      <c r="D238" s="1">
        <f>RTD("rtdtrading.rtdserver",, "T&amp;T0", "QUL", 235)</f>
        <v>0</v>
      </c>
      <c r="E238" s="1" t="str">
        <f>RTD("rtdtrading.rtdserver",, "T&amp;T0", "AVD", 235)</f>
        <v>-</v>
      </c>
      <c r="F238" s="1" t="str">
        <f>RTD("rtdtrading.rtdserver",, "T&amp;T0", "AGR", 235)</f>
        <v>-</v>
      </c>
      <c r="G238" s="1" t="str">
        <f>RTD("rtdtrading.rtdserver",, "T&amp;T0", "AGAG", 235)</f>
        <v>-</v>
      </c>
    </row>
    <row r="239" spans="1:7" x14ac:dyDescent="0.25">
      <c r="A239" s="1" t="str">
        <f>RTD("rtdtrading.rtdserver",, "T&amp;T0", "DAT", 236)</f>
        <v>-</v>
      </c>
      <c r="B239" s="1" t="str">
        <f>RTD("rtdtrading.rtdserver",, "T&amp;T0", "ACP", 236)</f>
        <v>-</v>
      </c>
      <c r="C239" s="1">
        <f>RTD("rtdtrading.rtdserver",, "T&amp;T0", "PRE", 236)</f>
        <v>0</v>
      </c>
      <c r="D239" s="1">
        <f>RTD("rtdtrading.rtdserver",, "T&amp;T0", "QUL", 236)</f>
        <v>0</v>
      </c>
      <c r="E239" s="1" t="str">
        <f>RTD("rtdtrading.rtdserver",, "T&amp;T0", "AVD", 236)</f>
        <v>-</v>
      </c>
      <c r="F239" s="1" t="str">
        <f>RTD("rtdtrading.rtdserver",, "T&amp;T0", "AGR", 236)</f>
        <v>-</v>
      </c>
      <c r="G239" s="1" t="str">
        <f>RTD("rtdtrading.rtdserver",, "T&amp;T0", "AGAG", 236)</f>
        <v>-</v>
      </c>
    </row>
    <row r="240" spans="1:7" x14ac:dyDescent="0.25">
      <c r="A240" s="1" t="str">
        <f>RTD("rtdtrading.rtdserver",, "T&amp;T0", "DAT", 237)</f>
        <v>-</v>
      </c>
      <c r="B240" s="1" t="str">
        <f>RTD("rtdtrading.rtdserver",, "T&amp;T0", "ACP", 237)</f>
        <v>-</v>
      </c>
      <c r="C240" s="1">
        <f>RTD("rtdtrading.rtdserver",, "T&amp;T0", "PRE", 237)</f>
        <v>0</v>
      </c>
      <c r="D240" s="1">
        <f>RTD("rtdtrading.rtdserver",, "T&amp;T0", "QUL", 237)</f>
        <v>0</v>
      </c>
      <c r="E240" s="1" t="str">
        <f>RTD("rtdtrading.rtdserver",, "T&amp;T0", "AVD", 237)</f>
        <v>-</v>
      </c>
      <c r="F240" s="1" t="str">
        <f>RTD("rtdtrading.rtdserver",, "T&amp;T0", "AGR", 237)</f>
        <v>-</v>
      </c>
      <c r="G240" s="1" t="str">
        <f>RTD("rtdtrading.rtdserver",, "T&amp;T0", "AGAG", 237)</f>
        <v>-</v>
      </c>
    </row>
    <row r="241" spans="1:7" x14ac:dyDescent="0.25">
      <c r="A241" s="1" t="str">
        <f>RTD("rtdtrading.rtdserver",, "T&amp;T0", "DAT", 238)</f>
        <v>-</v>
      </c>
      <c r="B241" s="1" t="str">
        <f>RTD("rtdtrading.rtdserver",, "T&amp;T0", "ACP", 238)</f>
        <v>-</v>
      </c>
      <c r="C241" s="1">
        <f>RTD("rtdtrading.rtdserver",, "T&amp;T0", "PRE", 238)</f>
        <v>0</v>
      </c>
      <c r="D241" s="1">
        <f>RTD("rtdtrading.rtdserver",, "T&amp;T0", "QUL", 238)</f>
        <v>0</v>
      </c>
      <c r="E241" s="1" t="str">
        <f>RTD("rtdtrading.rtdserver",, "T&amp;T0", "AVD", 238)</f>
        <v>-</v>
      </c>
      <c r="F241" s="1" t="str">
        <f>RTD("rtdtrading.rtdserver",, "T&amp;T0", "AGR", 238)</f>
        <v>-</v>
      </c>
      <c r="G241" s="1" t="str">
        <f>RTD("rtdtrading.rtdserver",, "T&amp;T0", "AGAG", 238)</f>
        <v>-</v>
      </c>
    </row>
    <row r="242" spans="1:7" x14ac:dyDescent="0.25">
      <c r="A242" s="1" t="str">
        <f>RTD("rtdtrading.rtdserver",, "T&amp;T0", "DAT", 239)</f>
        <v>-</v>
      </c>
      <c r="B242" s="1" t="str">
        <f>RTD("rtdtrading.rtdserver",, "T&amp;T0", "ACP", 239)</f>
        <v>-</v>
      </c>
      <c r="C242" s="1">
        <f>RTD("rtdtrading.rtdserver",, "T&amp;T0", "PRE", 239)</f>
        <v>0</v>
      </c>
      <c r="D242" s="1">
        <f>RTD("rtdtrading.rtdserver",, "T&amp;T0", "QUL", 239)</f>
        <v>0</v>
      </c>
      <c r="E242" s="1" t="str">
        <f>RTD("rtdtrading.rtdserver",, "T&amp;T0", "AVD", 239)</f>
        <v>-</v>
      </c>
      <c r="F242" s="1" t="str">
        <f>RTD("rtdtrading.rtdserver",, "T&amp;T0", "AGR", 239)</f>
        <v>-</v>
      </c>
      <c r="G242" s="1" t="str">
        <f>RTD("rtdtrading.rtdserver",, "T&amp;T0", "AGAG", 239)</f>
        <v>-</v>
      </c>
    </row>
    <row r="243" spans="1:7" x14ac:dyDescent="0.25">
      <c r="A243" s="1" t="str">
        <f>RTD("rtdtrading.rtdserver",, "T&amp;T0", "DAT", 240)</f>
        <v>-</v>
      </c>
      <c r="B243" s="1" t="str">
        <f>RTD("rtdtrading.rtdserver",, "T&amp;T0", "ACP", 240)</f>
        <v>-</v>
      </c>
      <c r="C243" s="1">
        <f>RTD("rtdtrading.rtdserver",, "T&amp;T0", "PRE", 240)</f>
        <v>0</v>
      </c>
      <c r="D243" s="1">
        <f>RTD("rtdtrading.rtdserver",, "T&amp;T0", "QUL", 240)</f>
        <v>0</v>
      </c>
      <c r="E243" s="1" t="str">
        <f>RTD("rtdtrading.rtdserver",, "T&amp;T0", "AVD", 240)</f>
        <v>-</v>
      </c>
      <c r="F243" s="1" t="str">
        <f>RTD("rtdtrading.rtdserver",, "T&amp;T0", "AGR", 240)</f>
        <v>-</v>
      </c>
      <c r="G243" s="1" t="str">
        <f>RTD("rtdtrading.rtdserver",, "T&amp;T0", "AGAG", 240)</f>
        <v>-</v>
      </c>
    </row>
    <row r="244" spans="1:7" x14ac:dyDescent="0.25">
      <c r="A244" s="1" t="str">
        <f>RTD("rtdtrading.rtdserver",, "T&amp;T0", "DAT", 241)</f>
        <v>-</v>
      </c>
      <c r="B244" s="1" t="str">
        <f>RTD("rtdtrading.rtdserver",, "T&amp;T0", "ACP", 241)</f>
        <v>-</v>
      </c>
      <c r="C244" s="1">
        <f>RTD("rtdtrading.rtdserver",, "T&amp;T0", "PRE", 241)</f>
        <v>0</v>
      </c>
      <c r="D244" s="1">
        <f>RTD("rtdtrading.rtdserver",, "T&amp;T0", "QUL", 241)</f>
        <v>0</v>
      </c>
      <c r="E244" s="1" t="str">
        <f>RTD("rtdtrading.rtdserver",, "T&amp;T0", "AVD", 241)</f>
        <v>-</v>
      </c>
      <c r="F244" s="1" t="str">
        <f>RTD("rtdtrading.rtdserver",, "T&amp;T0", "AGR", 241)</f>
        <v>-</v>
      </c>
      <c r="G244" s="1" t="str">
        <f>RTD("rtdtrading.rtdserver",, "T&amp;T0", "AGAG", 241)</f>
        <v>-</v>
      </c>
    </row>
    <row r="245" spans="1:7" x14ac:dyDescent="0.25">
      <c r="A245" s="1" t="str">
        <f>RTD("rtdtrading.rtdserver",, "T&amp;T0", "DAT", 242)</f>
        <v>-</v>
      </c>
      <c r="B245" s="1" t="str">
        <f>RTD("rtdtrading.rtdserver",, "T&amp;T0", "ACP", 242)</f>
        <v>-</v>
      </c>
      <c r="C245" s="1">
        <f>RTD("rtdtrading.rtdserver",, "T&amp;T0", "PRE", 242)</f>
        <v>0</v>
      </c>
      <c r="D245" s="1">
        <f>RTD("rtdtrading.rtdserver",, "T&amp;T0", "QUL", 242)</f>
        <v>0</v>
      </c>
      <c r="E245" s="1" t="str">
        <f>RTD("rtdtrading.rtdserver",, "T&amp;T0", "AVD", 242)</f>
        <v>-</v>
      </c>
      <c r="F245" s="1" t="str">
        <f>RTD("rtdtrading.rtdserver",, "T&amp;T0", "AGR", 242)</f>
        <v>-</v>
      </c>
      <c r="G245" s="1" t="str">
        <f>RTD("rtdtrading.rtdserver",, "T&amp;T0", "AGAG", 242)</f>
        <v>-</v>
      </c>
    </row>
    <row r="246" spans="1:7" x14ac:dyDescent="0.25">
      <c r="A246" s="1" t="str">
        <f>RTD("rtdtrading.rtdserver",, "T&amp;T0", "DAT", 243)</f>
        <v>-</v>
      </c>
      <c r="B246" s="1" t="str">
        <f>RTD("rtdtrading.rtdserver",, "T&amp;T0", "ACP", 243)</f>
        <v>-</v>
      </c>
      <c r="C246" s="1">
        <f>RTD("rtdtrading.rtdserver",, "T&amp;T0", "PRE", 243)</f>
        <v>0</v>
      </c>
      <c r="D246" s="1">
        <f>RTD("rtdtrading.rtdserver",, "T&amp;T0", "QUL", 243)</f>
        <v>0</v>
      </c>
      <c r="E246" s="1" t="str">
        <f>RTD("rtdtrading.rtdserver",, "T&amp;T0", "AVD", 243)</f>
        <v>-</v>
      </c>
      <c r="F246" s="1" t="str">
        <f>RTD("rtdtrading.rtdserver",, "T&amp;T0", "AGR", 243)</f>
        <v>-</v>
      </c>
      <c r="G246" s="1" t="str">
        <f>RTD("rtdtrading.rtdserver",, "T&amp;T0", "AGAG", 243)</f>
        <v>-</v>
      </c>
    </row>
    <row r="247" spans="1:7" x14ac:dyDescent="0.25">
      <c r="A247" s="1" t="str">
        <f>RTD("rtdtrading.rtdserver",, "T&amp;T0", "DAT", 244)</f>
        <v>-</v>
      </c>
      <c r="B247" s="1" t="str">
        <f>RTD("rtdtrading.rtdserver",, "T&amp;T0", "ACP", 244)</f>
        <v>-</v>
      </c>
      <c r="C247" s="1">
        <f>RTD("rtdtrading.rtdserver",, "T&amp;T0", "PRE", 244)</f>
        <v>0</v>
      </c>
      <c r="D247" s="1">
        <f>RTD("rtdtrading.rtdserver",, "T&amp;T0", "QUL", 244)</f>
        <v>0</v>
      </c>
      <c r="E247" s="1" t="str">
        <f>RTD("rtdtrading.rtdserver",, "T&amp;T0", "AVD", 244)</f>
        <v>-</v>
      </c>
      <c r="F247" s="1" t="str">
        <f>RTD("rtdtrading.rtdserver",, "T&amp;T0", "AGR", 244)</f>
        <v>-</v>
      </c>
      <c r="G247" s="1" t="str">
        <f>RTD("rtdtrading.rtdserver",, "T&amp;T0", "AGAG", 244)</f>
        <v>-</v>
      </c>
    </row>
    <row r="248" spans="1:7" x14ac:dyDescent="0.25">
      <c r="A248" s="1" t="str">
        <f>RTD("rtdtrading.rtdserver",, "T&amp;T0", "DAT", 245)</f>
        <v>-</v>
      </c>
      <c r="B248" s="1" t="str">
        <f>RTD("rtdtrading.rtdserver",, "T&amp;T0", "ACP", 245)</f>
        <v>-</v>
      </c>
      <c r="C248" s="1">
        <f>RTD("rtdtrading.rtdserver",, "T&amp;T0", "PRE", 245)</f>
        <v>0</v>
      </c>
      <c r="D248" s="1">
        <f>RTD("rtdtrading.rtdserver",, "T&amp;T0", "QUL", 245)</f>
        <v>0</v>
      </c>
      <c r="E248" s="1" t="str">
        <f>RTD("rtdtrading.rtdserver",, "T&amp;T0", "AVD", 245)</f>
        <v>-</v>
      </c>
      <c r="F248" s="1" t="str">
        <f>RTD("rtdtrading.rtdserver",, "T&amp;T0", "AGR", 245)</f>
        <v>-</v>
      </c>
      <c r="G248" s="1" t="str">
        <f>RTD("rtdtrading.rtdserver",, "T&amp;T0", "AGAG", 245)</f>
        <v>-</v>
      </c>
    </row>
    <row r="249" spans="1:7" x14ac:dyDescent="0.25">
      <c r="A249" s="1" t="str">
        <f>RTD("rtdtrading.rtdserver",, "T&amp;T0", "DAT", 246)</f>
        <v>-</v>
      </c>
      <c r="B249" s="1" t="str">
        <f>RTD("rtdtrading.rtdserver",, "T&amp;T0", "ACP", 246)</f>
        <v>-</v>
      </c>
      <c r="C249" s="1">
        <f>RTD("rtdtrading.rtdserver",, "T&amp;T0", "PRE", 246)</f>
        <v>0</v>
      </c>
      <c r="D249" s="1">
        <f>RTD("rtdtrading.rtdserver",, "T&amp;T0", "QUL", 246)</f>
        <v>0</v>
      </c>
      <c r="E249" s="1" t="str">
        <f>RTD("rtdtrading.rtdserver",, "T&amp;T0", "AVD", 246)</f>
        <v>-</v>
      </c>
      <c r="F249" s="1" t="str">
        <f>RTD("rtdtrading.rtdserver",, "T&amp;T0", "AGR", 246)</f>
        <v>-</v>
      </c>
      <c r="G249" s="1" t="str">
        <f>RTD("rtdtrading.rtdserver",, "T&amp;T0", "AGAG", 246)</f>
        <v>-</v>
      </c>
    </row>
    <row r="250" spans="1:7" x14ac:dyDescent="0.25">
      <c r="A250" s="1" t="str">
        <f>RTD("rtdtrading.rtdserver",, "T&amp;T0", "DAT", 247)</f>
        <v>-</v>
      </c>
      <c r="B250" s="1" t="str">
        <f>RTD("rtdtrading.rtdserver",, "T&amp;T0", "ACP", 247)</f>
        <v>-</v>
      </c>
      <c r="C250" s="1">
        <f>RTD("rtdtrading.rtdserver",, "T&amp;T0", "PRE", 247)</f>
        <v>0</v>
      </c>
      <c r="D250" s="1">
        <f>RTD("rtdtrading.rtdserver",, "T&amp;T0", "QUL", 247)</f>
        <v>0</v>
      </c>
      <c r="E250" s="1" t="str">
        <f>RTD("rtdtrading.rtdserver",, "T&amp;T0", "AVD", 247)</f>
        <v>-</v>
      </c>
      <c r="F250" s="1" t="str">
        <f>RTD("rtdtrading.rtdserver",, "T&amp;T0", "AGR", 247)</f>
        <v>-</v>
      </c>
      <c r="G250" s="1" t="str">
        <f>RTD("rtdtrading.rtdserver",, "T&amp;T0", "AGAG", 247)</f>
        <v>-</v>
      </c>
    </row>
    <row r="251" spans="1:7" x14ac:dyDescent="0.25">
      <c r="A251" s="1" t="str">
        <f>RTD("rtdtrading.rtdserver",, "T&amp;T0", "DAT", 248)</f>
        <v>-</v>
      </c>
      <c r="B251" s="1" t="str">
        <f>RTD("rtdtrading.rtdserver",, "T&amp;T0", "ACP", 248)</f>
        <v>-</v>
      </c>
      <c r="C251" s="1">
        <f>RTD("rtdtrading.rtdserver",, "T&amp;T0", "PRE", 248)</f>
        <v>0</v>
      </c>
      <c r="D251" s="1">
        <f>RTD("rtdtrading.rtdserver",, "T&amp;T0", "QUL", 248)</f>
        <v>0</v>
      </c>
      <c r="E251" s="1" t="str">
        <f>RTD("rtdtrading.rtdserver",, "T&amp;T0", "AVD", 248)</f>
        <v>-</v>
      </c>
      <c r="F251" s="1" t="str">
        <f>RTD("rtdtrading.rtdserver",, "T&amp;T0", "AGR", 248)</f>
        <v>-</v>
      </c>
      <c r="G251" s="1" t="str">
        <f>RTD("rtdtrading.rtdserver",, "T&amp;T0", "AGAG", 248)</f>
        <v>-</v>
      </c>
    </row>
    <row r="252" spans="1:7" x14ac:dyDescent="0.25">
      <c r="A252" s="1" t="str">
        <f>RTD("rtdtrading.rtdserver",, "T&amp;T0", "DAT", 249)</f>
        <v>-</v>
      </c>
      <c r="B252" s="1" t="str">
        <f>RTD("rtdtrading.rtdserver",, "T&amp;T0", "ACP", 249)</f>
        <v>-</v>
      </c>
      <c r="C252" s="1">
        <f>RTD("rtdtrading.rtdserver",, "T&amp;T0", "PRE", 249)</f>
        <v>0</v>
      </c>
      <c r="D252" s="1">
        <f>RTD("rtdtrading.rtdserver",, "T&amp;T0", "QUL", 249)</f>
        <v>0</v>
      </c>
      <c r="E252" s="1" t="str">
        <f>RTD("rtdtrading.rtdserver",, "T&amp;T0", "AVD", 249)</f>
        <v>-</v>
      </c>
      <c r="F252" s="1" t="str">
        <f>RTD("rtdtrading.rtdserver",, "T&amp;T0", "AGR", 249)</f>
        <v>-</v>
      </c>
      <c r="G252" s="1" t="str">
        <f>RTD("rtdtrading.rtdserver",, "T&amp;T0", "AGAG", 249)</f>
        <v>-</v>
      </c>
    </row>
    <row r="253" spans="1:7" x14ac:dyDescent="0.25">
      <c r="A253" s="1" t="str">
        <f>RTD("rtdtrading.rtdserver",, "T&amp;T0", "DAT", 250)</f>
        <v>-</v>
      </c>
      <c r="B253" s="1" t="str">
        <f>RTD("rtdtrading.rtdserver",, "T&amp;T0", "ACP", 250)</f>
        <v>-</v>
      </c>
      <c r="C253" s="1">
        <f>RTD("rtdtrading.rtdserver",, "T&amp;T0", "PRE", 250)</f>
        <v>0</v>
      </c>
      <c r="D253" s="1">
        <f>RTD("rtdtrading.rtdserver",, "T&amp;T0", "QUL", 250)</f>
        <v>0</v>
      </c>
      <c r="E253" s="1" t="str">
        <f>RTD("rtdtrading.rtdserver",, "T&amp;T0", "AVD", 250)</f>
        <v>-</v>
      </c>
      <c r="F253" s="1" t="str">
        <f>RTD("rtdtrading.rtdserver",, "T&amp;T0", "AGR", 250)</f>
        <v>-</v>
      </c>
      <c r="G253" s="1" t="str">
        <f>RTD("rtdtrading.rtdserver",, "T&amp;T0", "AGAG", 250)</f>
        <v>-</v>
      </c>
    </row>
    <row r="254" spans="1:7" x14ac:dyDescent="0.25">
      <c r="A254" s="1" t="str">
        <f>RTD("rtdtrading.rtdserver",, "T&amp;T0", "DAT", 251)</f>
        <v>-</v>
      </c>
      <c r="B254" s="1" t="str">
        <f>RTD("rtdtrading.rtdserver",, "T&amp;T0", "ACP", 251)</f>
        <v>-</v>
      </c>
      <c r="C254" s="1">
        <f>RTD("rtdtrading.rtdserver",, "T&amp;T0", "PRE", 251)</f>
        <v>0</v>
      </c>
      <c r="D254" s="1">
        <f>RTD("rtdtrading.rtdserver",, "T&amp;T0", "QUL", 251)</f>
        <v>0</v>
      </c>
      <c r="E254" s="1" t="str">
        <f>RTD("rtdtrading.rtdserver",, "T&amp;T0", "AVD", 251)</f>
        <v>-</v>
      </c>
      <c r="F254" s="1" t="str">
        <f>RTD("rtdtrading.rtdserver",, "T&amp;T0", "AGR", 251)</f>
        <v>-</v>
      </c>
      <c r="G254" s="1" t="str">
        <f>RTD("rtdtrading.rtdserver",, "T&amp;T0", "AGAG", 251)</f>
        <v>-</v>
      </c>
    </row>
    <row r="255" spans="1:7" x14ac:dyDescent="0.25">
      <c r="A255" s="1" t="str">
        <f>RTD("rtdtrading.rtdserver",, "T&amp;T0", "DAT", 252)</f>
        <v>-</v>
      </c>
      <c r="B255" s="1" t="str">
        <f>RTD("rtdtrading.rtdserver",, "T&amp;T0", "ACP", 252)</f>
        <v>-</v>
      </c>
      <c r="C255" s="1">
        <f>RTD("rtdtrading.rtdserver",, "T&amp;T0", "PRE", 252)</f>
        <v>0</v>
      </c>
      <c r="D255" s="1">
        <f>RTD("rtdtrading.rtdserver",, "T&amp;T0", "QUL", 252)</f>
        <v>0</v>
      </c>
      <c r="E255" s="1" t="str">
        <f>RTD("rtdtrading.rtdserver",, "T&amp;T0", "AVD", 252)</f>
        <v>-</v>
      </c>
      <c r="F255" s="1" t="str">
        <f>RTD("rtdtrading.rtdserver",, "T&amp;T0", "AGR", 252)</f>
        <v>-</v>
      </c>
      <c r="G255" s="1" t="str">
        <f>RTD("rtdtrading.rtdserver",, "T&amp;T0", "AGAG", 252)</f>
        <v>-</v>
      </c>
    </row>
    <row r="256" spans="1:7" x14ac:dyDescent="0.25">
      <c r="A256" s="1" t="str">
        <f>RTD("rtdtrading.rtdserver",, "T&amp;T0", "DAT", 253)</f>
        <v>-</v>
      </c>
      <c r="B256" s="1" t="str">
        <f>RTD("rtdtrading.rtdserver",, "T&amp;T0", "ACP", 253)</f>
        <v>-</v>
      </c>
      <c r="C256" s="1">
        <f>RTD("rtdtrading.rtdserver",, "T&amp;T0", "PRE", 253)</f>
        <v>0</v>
      </c>
      <c r="D256" s="1">
        <f>RTD("rtdtrading.rtdserver",, "T&amp;T0", "QUL", 253)</f>
        <v>0</v>
      </c>
      <c r="E256" s="1" t="str">
        <f>RTD("rtdtrading.rtdserver",, "T&amp;T0", "AVD", 253)</f>
        <v>-</v>
      </c>
      <c r="F256" s="1" t="str">
        <f>RTD("rtdtrading.rtdserver",, "T&amp;T0", "AGR", 253)</f>
        <v>-</v>
      </c>
      <c r="G256" s="1" t="str">
        <f>RTD("rtdtrading.rtdserver",, "T&amp;T0", "AGAG", 253)</f>
        <v>-</v>
      </c>
    </row>
    <row r="257" spans="1:7" x14ac:dyDescent="0.25">
      <c r="A257" s="1" t="str">
        <f>RTD("rtdtrading.rtdserver",, "T&amp;T0", "DAT", 254)</f>
        <v>-</v>
      </c>
      <c r="B257" s="1" t="str">
        <f>RTD("rtdtrading.rtdserver",, "T&amp;T0", "ACP", 254)</f>
        <v>-</v>
      </c>
      <c r="C257" s="1">
        <f>RTD("rtdtrading.rtdserver",, "T&amp;T0", "PRE", 254)</f>
        <v>0</v>
      </c>
      <c r="D257" s="1">
        <f>RTD("rtdtrading.rtdserver",, "T&amp;T0", "QUL", 254)</f>
        <v>0</v>
      </c>
      <c r="E257" s="1" t="str">
        <f>RTD("rtdtrading.rtdserver",, "T&amp;T0", "AVD", 254)</f>
        <v>-</v>
      </c>
      <c r="F257" s="1" t="str">
        <f>RTD("rtdtrading.rtdserver",, "T&amp;T0", "AGR", 254)</f>
        <v>-</v>
      </c>
      <c r="G257" s="1" t="str">
        <f>RTD("rtdtrading.rtdserver",, "T&amp;T0", "AGAG", 254)</f>
        <v>-</v>
      </c>
    </row>
    <row r="258" spans="1:7" x14ac:dyDescent="0.25">
      <c r="A258" s="1" t="str">
        <f>RTD("rtdtrading.rtdserver",, "T&amp;T0", "DAT", 255)</f>
        <v>-</v>
      </c>
      <c r="B258" s="1" t="str">
        <f>RTD("rtdtrading.rtdserver",, "T&amp;T0", "ACP", 255)</f>
        <v>-</v>
      </c>
      <c r="C258" s="1">
        <f>RTD("rtdtrading.rtdserver",, "T&amp;T0", "PRE", 255)</f>
        <v>0</v>
      </c>
      <c r="D258" s="1">
        <f>RTD("rtdtrading.rtdserver",, "T&amp;T0", "QUL", 255)</f>
        <v>0</v>
      </c>
      <c r="E258" s="1" t="str">
        <f>RTD("rtdtrading.rtdserver",, "T&amp;T0", "AVD", 255)</f>
        <v>-</v>
      </c>
      <c r="F258" s="1" t="str">
        <f>RTD("rtdtrading.rtdserver",, "T&amp;T0", "AGR", 255)</f>
        <v>-</v>
      </c>
      <c r="G258" s="1" t="str">
        <f>RTD("rtdtrading.rtdserver",, "T&amp;T0", "AGAG", 255)</f>
        <v>-</v>
      </c>
    </row>
    <row r="259" spans="1:7" x14ac:dyDescent="0.25">
      <c r="A259" s="1" t="str">
        <f>RTD("rtdtrading.rtdserver",, "T&amp;T0", "DAT", 256)</f>
        <v>-</v>
      </c>
      <c r="B259" s="1" t="str">
        <f>RTD("rtdtrading.rtdserver",, "T&amp;T0", "ACP", 256)</f>
        <v>-</v>
      </c>
      <c r="C259" s="1">
        <f>RTD("rtdtrading.rtdserver",, "T&amp;T0", "PRE", 256)</f>
        <v>0</v>
      </c>
      <c r="D259" s="1">
        <f>RTD("rtdtrading.rtdserver",, "T&amp;T0", "QUL", 256)</f>
        <v>0</v>
      </c>
      <c r="E259" s="1" t="str">
        <f>RTD("rtdtrading.rtdserver",, "T&amp;T0", "AVD", 256)</f>
        <v>-</v>
      </c>
      <c r="F259" s="1" t="str">
        <f>RTD("rtdtrading.rtdserver",, "T&amp;T0", "AGR", 256)</f>
        <v>-</v>
      </c>
      <c r="G259" s="1" t="str">
        <f>RTD("rtdtrading.rtdserver",, "T&amp;T0", "AGAG", 256)</f>
        <v>-</v>
      </c>
    </row>
    <row r="260" spans="1:7" x14ac:dyDescent="0.25">
      <c r="A260" s="1" t="str">
        <f>RTD("rtdtrading.rtdserver",, "T&amp;T0", "DAT", 257)</f>
        <v>-</v>
      </c>
      <c r="B260" s="1" t="str">
        <f>RTD("rtdtrading.rtdserver",, "T&amp;T0", "ACP", 257)</f>
        <v>-</v>
      </c>
      <c r="C260" s="1">
        <f>RTD("rtdtrading.rtdserver",, "T&amp;T0", "PRE", 257)</f>
        <v>0</v>
      </c>
      <c r="D260" s="1">
        <f>RTD("rtdtrading.rtdserver",, "T&amp;T0", "QUL", 257)</f>
        <v>0</v>
      </c>
      <c r="E260" s="1" t="str">
        <f>RTD("rtdtrading.rtdserver",, "T&amp;T0", "AVD", 257)</f>
        <v>-</v>
      </c>
      <c r="F260" s="1" t="str">
        <f>RTD("rtdtrading.rtdserver",, "T&amp;T0", "AGR", 257)</f>
        <v>-</v>
      </c>
      <c r="G260" s="1" t="str">
        <f>RTD("rtdtrading.rtdserver",, "T&amp;T0", "AGAG", 257)</f>
        <v>-</v>
      </c>
    </row>
    <row r="261" spans="1:7" x14ac:dyDescent="0.25">
      <c r="A261" s="1" t="str">
        <f>RTD("rtdtrading.rtdserver",, "T&amp;T0", "DAT", 258)</f>
        <v>-</v>
      </c>
      <c r="B261" s="1" t="str">
        <f>RTD("rtdtrading.rtdserver",, "T&amp;T0", "ACP", 258)</f>
        <v>-</v>
      </c>
      <c r="C261" s="1">
        <f>RTD("rtdtrading.rtdserver",, "T&amp;T0", "PRE", 258)</f>
        <v>0</v>
      </c>
      <c r="D261" s="1">
        <f>RTD("rtdtrading.rtdserver",, "T&amp;T0", "QUL", 258)</f>
        <v>0</v>
      </c>
      <c r="E261" s="1" t="str">
        <f>RTD("rtdtrading.rtdserver",, "T&amp;T0", "AVD", 258)</f>
        <v>-</v>
      </c>
      <c r="F261" s="1" t="str">
        <f>RTD("rtdtrading.rtdserver",, "T&amp;T0", "AGR", 258)</f>
        <v>-</v>
      </c>
      <c r="G261" s="1" t="str">
        <f>RTD("rtdtrading.rtdserver",, "T&amp;T0", "AGAG", 258)</f>
        <v>-</v>
      </c>
    </row>
    <row r="262" spans="1:7" x14ac:dyDescent="0.25">
      <c r="A262" s="1" t="str">
        <f>RTD("rtdtrading.rtdserver",, "T&amp;T0", "DAT", 259)</f>
        <v>-</v>
      </c>
      <c r="B262" s="1" t="str">
        <f>RTD("rtdtrading.rtdserver",, "T&amp;T0", "ACP", 259)</f>
        <v>-</v>
      </c>
      <c r="C262" s="1">
        <f>RTD("rtdtrading.rtdserver",, "T&amp;T0", "PRE", 259)</f>
        <v>0</v>
      </c>
      <c r="D262" s="1">
        <f>RTD("rtdtrading.rtdserver",, "T&amp;T0", "QUL", 259)</f>
        <v>0</v>
      </c>
      <c r="E262" s="1" t="str">
        <f>RTD("rtdtrading.rtdserver",, "T&amp;T0", "AVD", 259)</f>
        <v>-</v>
      </c>
      <c r="F262" s="1" t="str">
        <f>RTD("rtdtrading.rtdserver",, "T&amp;T0", "AGR", 259)</f>
        <v>-</v>
      </c>
      <c r="G262" s="1" t="str">
        <f>RTD("rtdtrading.rtdserver",, "T&amp;T0", "AGAG", 259)</f>
        <v>-</v>
      </c>
    </row>
    <row r="263" spans="1:7" x14ac:dyDescent="0.25">
      <c r="A263" s="1" t="str">
        <f>RTD("rtdtrading.rtdserver",, "T&amp;T0", "DAT", 260)</f>
        <v>-</v>
      </c>
      <c r="B263" s="1" t="str">
        <f>RTD("rtdtrading.rtdserver",, "T&amp;T0", "ACP", 260)</f>
        <v>-</v>
      </c>
      <c r="C263" s="1">
        <f>RTD("rtdtrading.rtdserver",, "T&amp;T0", "PRE", 260)</f>
        <v>0</v>
      </c>
      <c r="D263" s="1">
        <f>RTD("rtdtrading.rtdserver",, "T&amp;T0", "QUL", 260)</f>
        <v>0</v>
      </c>
      <c r="E263" s="1" t="str">
        <f>RTD("rtdtrading.rtdserver",, "T&amp;T0", "AVD", 260)</f>
        <v>-</v>
      </c>
      <c r="F263" s="1" t="str">
        <f>RTD("rtdtrading.rtdserver",, "T&amp;T0", "AGR", 260)</f>
        <v>-</v>
      </c>
      <c r="G263" s="1" t="str">
        <f>RTD("rtdtrading.rtdserver",, "T&amp;T0", "AGAG", 260)</f>
        <v>-</v>
      </c>
    </row>
    <row r="264" spans="1:7" x14ac:dyDescent="0.25">
      <c r="A264" s="1" t="str">
        <f>RTD("rtdtrading.rtdserver",, "T&amp;T0", "DAT", 261)</f>
        <v>-</v>
      </c>
      <c r="B264" s="1" t="str">
        <f>RTD("rtdtrading.rtdserver",, "T&amp;T0", "ACP", 261)</f>
        <v>-</v>
      </c>
      <c r="C264" s="1">
        <f>RTD("rtdtrading.rtdserver",, "T&amp;T0", "PRE", 261)</f>
        <v>0</v>
      </c>
      <c r="D264" s="1">
        <f>RTD("rtdtrading.rtdserver",, "T&amp;T0", "QUL", 261)</f>
        <v>0</v>
      </c>
      <c r="E264" s="1" t="str">
        <f>RTD("rtdtrading.rtdserver",, "T&amp;T0", "AVD", 261)</f>
        <v>-</v>
      </c>
      <c r="F264" s="1" t="str">
        <f>RTD("rtdtrading.rtdserver",, "T&amp;T0", "AGR", 261)</f>
        <v>-</v>
      </c>
      <c r="G264" s="1" t="str">
        <f>RTD("rtdtrading.rtdserver",, "T&amp;T0", "AGAG", 261)</f>
        <v>-</v>
      </c>
    </row>
    <row r="265" spans="1:7" x14ac:dyDescent="0.25">
      <c r="A265" s="1" t="str">
        <f>RTD("rtdtrading.rtdserver",, "T&amp;T0", "DAT", 262)</f>
        <v>-</v>
      </c>
      <c r="B265" s="1" t="str">
        <f>RTD("rtdtrading.rtdserver",, "T&amp;T0", "ACP", 262)</f>
        <v>-</v>
      </c>
      <c r="C265" s="1">
        <f>RTD("rtdtrading.rtdserver",, "T&amp;T0", "PRE", 262)</f>
        <v>0</v>
      </c>
      <c r="D265" s="1">
        <f>RTD("rtdtrading.rtdserver",, "T&amp;T0", "QUL", 262)</f>
        <v>0</v>
      </c>
      <c r="E265" s="1" t="str">
        <f>RTD("rtdtrading.rtdserver",, "T&amp;T0", "AVD", 262)</f>
        <v>-</v>
      </c>
      <c r="F265" s="1" t="str">
        <f>RTD("rtdtrading.rtdserver",, "T&amp;T0", "AGR", 262)</f>
        <v>-</v>
      </c>
      <c r="G265" s="1" t="str">
        <f>RTD("rtdtrading.rtdserver",, "T&amp;T0", "AGAG", 262)</f>
        <v>-</v>
      </c>
    </row>
    <row r="266" spans="1:7" x14ac:dyDescent="0.25">
      <c r="A266" s="1" t="str">
        <f>RTD("rtdtrading.rtdserver",, "T&amp;T0", "DAT", 263)</f>
        <v>-</v>
      </c>
      <c r="B266" s="1" t="str">
        <f>RTD("rtdtrading.rtdserver",, "T&amp;T0", "ACP", 263)</f>
        <v>-</v>
      </c>
      <c r="C266" s="1">
        <f>RTD("rtdtrading.rtdserver",, "T&amp;T0", "PRE", 263)</f>
        <v>0</v>
      </c>
      <c r="D266" s="1">
        <f>RTD("rtdtrading.rtdserver",, "T&amp;T0", "QUL", 263)</f>
        <v>0</v>
      </c>
      <c r="E266" s="1" t="str">
        <f>RTD("rtdtrading.rtdserver",, "T&amp;T0", "AVD", 263)</f>
        <v>-</v>
      </c>
      <c r="F266" s="1" t="str">
        <f>RTD("rtdtrading.rtdserver",, "T&amp;T0", "AGR", 263)</f>
        <v>-</v>
      </c>
      <c r="G266" s="1" t="str">
        <f>RTD("rtdtrading.rtdserver",, "T&amp;T0", "AGAG", 263)</f>
        <v>-</v>
      </c>
    </row>
    <row r="267" spans="1:7" x14ac:dyDescent="0.25">
      <c r="A267" s="1" t="str">
        <f>RTD("rtdtrading.rtdserver",, "T&amp;T0", "DAT", 264)</f>
        <v>-</v>
      </c>
      <c r="B267" s="1" t="str">
        <f>RTD("rtdtrading.rtdserver",, "T&amp;T0", "ACP", 264)</f>
        <v>-</v>
      </c>
      <c r="C267" s="1">
        <f>RTD("rtdtrading.rtdserver",, "T&amp;T0", "PRE", 264)</f>
        <v>0</v>
      </c>
      <c r="D267" s="1">
        <f>RTD("rtdtrading.rtdserver",, "T&amp;T0", "QUL", 264)</f>
        <v>0</v>
      </c>
      <c r="E267" s="1" t="str">
        <f>RTD("rtdtrading.rtdserver",, "T&amp;T0", "AVD", 264)</f>
        <v>-</v>
      </c>
      <c r="F267" s="1" t="str">
        <f>RTD("rtdtrading.rtdserver",, "T&amp;T0", "AGR", 264)</f>
        <v>-</v>
      </c>
      <c r="G267" s="1" t="str">
        <f>RTD("rtdtrading.rtdserver",, "T&amp;T0", "AGAG", 264)</f>
        <v>-</v>
      </c>
    </row>
    <row r="268" spans="1:7" x14ac:dyDescent="0.25">
      <c r="A268" s="1" t="str">
        <f>RTD("rtdtrading.rtdserver",, "T&amp;T0", "DAT", 265)</f>
        <v>-</v>
      </c>
      <c r="B268" s="1" t="str">
        <f>RTD("rtdtrading.rtdserver",, "T&amp;T0", "ACP", 265)</f>
        <v>-</v>
      </c>
      <c r="C268" s="1">
        <f>RTD("rtdtrading.rtdserver",, "T&amp;T0", "PRE", 265)</f>
        <v>0</v>
      </c>
      <c r="D268" s="1">
        <f>RTD("rtdtrading.rtdserver",, "T&amp;T0", "QUL", 265)</f>
        <v>0</v>
      </c>
      <c r="E268" s="1" t="str">
        <f>RTD("rtdtrading.rtdserver",, "T&amp;T0", "AVD", 265)</f>
        <v>-</v>
      </c>
      <c r="F268" s="1" t="str">
        <f>RTD("rtdtrading.rtdserver",, "T&amp;T0", "AGR", 265)</f>
        <v>-</v>
      </c>
      <c r="G268" s="1" t="str">
        <f>RTD("rtdtrading.rtdserver",, "T&amp;T0", "AGAG", 265)</f>
        <v>-</v>
      </c>
    </row>
    <row r="269" spans="1:7" x14ac:dyDescent="0.25">
      <c r="A269" s="1" t="str">
        <f>RTD("rtdtrading.rtdserver",, "T&amp;T0", "DAT", 266)</f>
        <v>-</v>
      </c>
      <c r="B269" s="1" t="str">
        <f>RTD("rtdtrading.rtdserver",, "T&amp;T0", "ACP", 266)</f>
        <v>-</v>
      </c>
      <c r="C269" s="1">
        <f>RTD("rtdtrading.rtdserver",, "T&amp;T0", "PRE", 266)</f>
        <v>0</v>
      </c>
      <c r="D269" s="1">
        <f>RTD("rtdtrading.rtdserver",, "T&amp;T0", "QUL", 266)</f>
        <v>0</v>
      </c>
      <c r="E269" s="1" t="str">
        <f>RTD("rtdtrading.rtdserver",, "T&amp;T0", "AVD", 266)</f>
        <v>-</v>
      </c>
      <c r="F269" s="1" t="str">
        <f>RTD("rtdtrading.rtdserver",, "T&amp;T0", "AGR", 266)</f>
        <v>-</v>
      </c>
      <c r="G269" s="1" t="str">
        <f>RTD("rtdtrading.rtdserver",, "T&amp;T0", "AGAG", 266)</f>
        <v>-</v>
      </c>
    </row>
    <row r="270" spans="1:7" x14ac:dyDescent="0.25">
      <c r="A270" s="1" t="str">
        <f>RTD("rtdtrading.rtdserver",, "T&amp;T0", "DAT", 267)</f>
        <v>-</v>
      </c>
      <c r="B270" s="1" t="str">
        <f>RTD("rtdtrading.rtdserver",, "T&amp;T0", "ACP", 267)</f>
        <v>-</v>
      </c>
      <c r="C270" s="1">
        <f>RTD("rtdtrading.rtdserver",, "T&amp;T0", "PRE", 267)</f>
        <v>0</v>
      </c>
      <c r="D270" s="1">
        <f>RTD("rtdtrading.rtdserver",, "T&amp;T0", "QUL", 267)</f>
        <v>0</v>
      </c>
      <c r="E270" s="1" t="str">
        <f>RTD("rtdtrading.rtdserver",, "T&amp;T0", "AVD", 267)</f>
        <v>-</v>
      </c>
      <c r="F270" s="1" t="str">
        <f>RTD("rtdtrading.rtdserver",, "T&amp;T0", "AGR", 267)</f>
        <v>-</v>
      </c>
      <c r="G270" s="1" t="str">
        <f>RTD("rtdtrading.rtdserver",, "T&amp;T0", "AGAG", 267)</f>
        <v>-</v>
      </c>
    </row>
    <row r="271" spans="1:7" x14ac:dyDescent="0.25">
      <c r="A271" s="1" t="str">
        <f>RTD("rtdtrading.rtdserver",, "T&amp;T0", "DAT", 268)</f>
        <v>-</v>
      </c>
      <c r="B271" s="1" t="str">
        <f>RTD("rtdtrading.rtdserver",, "T&amp;T0", "ACP", 268)</f>
        <v>-</v>
      </c>
      <c r="C271" s="1">
        <f>RTD("rtdtrading.rtdserver",, "T&amp;T0", "PRE", 268)</f>
        <v>0</v>
      </c>
      <c r="D271" s="1">
        <f>RTD("rtdtrading.rtdserver",, "T&amp;T0", "QUL", 268)</f>
        <v>0</v>
      </c>
      <c r="E271" s="1" t="str">
        <f>RTD("rtdtrading.rtdserver",, "T&amp;T0", "AVD", 268)</f>
        <v>-</v>
      </c>
      <c r="F271" s="1" t="str">
        <f>RTD("rtdtrading.rtdserver",, "T&amp;T0", "AGR", 268)</f>
        <v>-</v>
      </c>
      <c r="G271" s="1" t="str">
        <f>RTD("rtdtrading.rtdserver",, "T&amp;T0", "AGAG", 268)</f>
        <v>-</v>
      </c>
    </row>
    <row r="272" spans="1:7" x14ac:dyDescent="0.25">
      <c r="A272" s="1" t="str">
        <f>RTD("rtdtrading.rtdserver",, "T&amp;T0", "DAT", 269)</f>
        <v>-</v>
      </c>
      <c r="B272" s="1" t="str">
        <f>RTD("rtdtrading.rtdserver",, "T&amp;T0", "ACP", 269)</f>
        <v>-</v>
      </c>
      <c r="C272" s="1">
        <f>RTD("rtdtrading.rtdserver",, "T&amp;T0", "PRE", 269)</f>
        <v>0</v>
      </c>
      <c r="D272" s="1">
        <f>RTD("rtdtrading.rtdserver",, "T&amp;T0", "QUL", 269)</f>
        <v>0</v>
      </c>
      <c r="E272" s="1" t="str">
        <f>RTD("rtdtrading.rtdserver",, "T&amp;T0", "AVD", 269)</f>
        <v>-</v>
      </c>
      <c r="F272" s="1" t="str">
        <f>RTD("rtdtrading.rtdserver",, "T&amp;T0", "AGR", 269)</f>
        <v>-</v>
      </c>
      <c r="G272" s="1" t="str">
        <f>RTD("rtdtrading.rtdserver",, "T&amp;T0", "AGAG", 269)</f>
        <v>-</v>
      </c>
    </row>
    <row r="273" spans="1:7" x14ac:dyDescent="0.25">
      <c r="A273" s="1" t="str">
        <f>RTD("rtdtrading.rtdserver",, "T&amp;T0", "DAT", 270)</f>
        <v>-</v>
      </c>
      <c r="B273" s="1" t="str">
        <f>RTD("rtdtrading.rtdserver",, "T&amp;T0", "ACP", 270)</f>
        <v>-</v>
      </c>
      <c r="C273" s="1">
        <f>RTD("rtdtrading.rtdserver",, "T&amp;T0", "PRE", 270)</f>
        <v>0</v>
      </c>
      <c r="D273" s="1">
        <f>RTD("rtdtrading.rtdserver",, "T&amp;T0", "QUL", 270)</f>
        <v>0</v>
      </c>
      <c r="E273" s="1" t="str">
        <f>RTD("rtdtrading.rtdserver",, "T&amp;T0", "AVD", 270)</f>
        <v>-</v>
      </c>
      <c r="F273" s="1" t="str">
        <f>RTD("rtdtrading.rtdserver",, "T&amp;T0", "AGR", 270)</f>
        <v>-</v>
      </c>
      <c r="G273" s="1" t="str">
        <f>RTD("rtdtrading.rtdserver",, "T&amp;T0", "AGAG", 270)</f>
        <v>-</v>
      </c>
    </row>
    <row r="274" spans="1:7" x14ac:dyDescent="0.25">
      <c r="A274" s="1" t="str">
        <f>RTD("rtdtrading.rtdserver",, "T&amp;T0", "DAT", 271)</f>
        <v>-</v>
      </c>
      <c r="B274" s="1" t="str">
        <f>RTD("rtdtrading.rtdserver",, "T&amp;T0", "ACP", 271)</f>
        <v>-</v>
      </c>
      <c r="C274" s="1">
        <f>RTD("rtdtrading.rtdserver",, "T&amp;T0", "PRE", 271)</f>
        <v>0</v>
      </c>
      <c r="D274" s="1">
        <f>RTD("rtdtrading.rtdserver",, "T&amp;T0", "QUL", 271)</f>
        <v>0</v>
      </c>
      <c r="E274" s="1" t="str">
        <f>RTD("rtdtrading.rtdserver",, "T&amp;T0", "AVD", 271)</f>
        <v>-</v>
      </c>
      <c r="F274" s="1" t="str">
        <f>RTD("rtdtrading.rtdserver",, "T&amp;T0", "AGR", 271)</f>
        <v>-</v>
      </c>
      <c r="G274" s="1" t="str">
        <f>RTD("rtdtrading.rtdserver",, "T&amp;T0", "AGAG", 271)</f>
        <v>-</v>
      </c>
    </row>
    <row r="275" spans="1:7" x14ac:dyDescent="0.25">
      <c r="A275" s="1" t="str">
        <f>RTD("rtdtrading.rtdserver",, "T&amp;T0", "DAT", 272)</f>
        <v>-</v>
      </c>
      <c r="B275" s="1" t="str">
        <f>RTD("rtdtrading.rtdserver",, "T&amp;T0", "ACP", 272)</f>
        <v>-</v>
      </c>
      <c r="C275" s="1">
        <f>RTD("rtdtrading.rtdserver",, "T&amp;T0", "PRE", 272)</f>
        <v>0</v>
      </c>
      <c r="D275" s="1">
        <f>RTD("rtdtrading.rtdserver",, "T&amp;T0", "QUL", 272)</f>
        <v>0</v>
      </c>
      <c r="E275" s="1" t="str">
        <f>RTD("rtdtrading.rtdserver",, "T&amp;T0", "AVD", 272)</f>
        <v>-</v>
      </c>
      <c r="F275" s="1" t="str">
        <f>RTD("rtdtrading.rtdserver",, "T&amp;T0", "AGR", 272)</f>
        <v>-</v>
      </c>
      <c r="G275" s="1" t="str">
        <f>RTD("rtdtrading.rtdserver",, "T&amp;T0", "AGAG", 272)</f>
        <v>-</v>
      </c>
    </row>
    <row r="276" spans="1:7" x14ac:dyDescent="0.25">
      <c r="A276" s="1" t="str">
        <f>RTD("rtdtrading.rtdserver",, "T&amp;T0", "DAT", 273)</f>
        <v>-</v>
      </c>
      <c r="B276" s="1" t="str">
        <f>RTD("rtdtrading.rtdserver",, "T&amp;T0", "ACP", 273)</f>
        <v>-</v>
      </c>
      <c r="C276" s="1">
        <f>RTD("rtdtrading.rtdserver",, "T&amp;T0", "PRE", 273)</f>
        <v>0</v>
      </c>
      <c r="D276" s="1">
        <f>RTD("rtdtrading.rtdserver",, "T&amp;T0", "QUL", 273)</f>
        <v>0</v>
      </c>
      <c r="E276" s="1" t="str">
        <f>RTD("rtdtrading.rtdserver",, "T&amp;T0", "AVD", 273)</f>
        <v>-</v>
      </c>
      <c r="F276" s="1" t="str">
        <f>RTD("rtdtrading.rtdserver",, "T&amp;T0", "AGR", 273)</f>
        <v>-</v>
      </c>
      <c r="G276" s="1" t="str">
        <f>RTD("rtdtrading.rtdserver",, "T&amp;T0", "AGAG", 273)</f>
        <v>-</v>
      </c>
    </row>
    <row r="277" spans="1:7" x14ac:dyDescent="0.25">
      <c r="A277" s="1" t="str">
        <f>RTD("rtdtrading.rtdserver",, "T&amp;T0", "DAT", 274)</f>
        <v>-</v>
      </c>
      <c r="B277" s="1" t="str">
        <f>RTD("rtdtrading.rtdserver",, "T&amp;T0", "ACP", 274)</f>
        <v>-</v>
      </c>
      <c r="C277" s="1">
        <f>RTD("rtdtrading.rtdserver",, "T&amp;T0", "PRE", 274)</f>
        <v>0</v>
      </c>
      <c r="D277" s="1">
        <f>RTD("rtdtrading.rtdserver",, "T&amp;T0", "QUL", 274)</f>
        <v>0</v>
      </c>
      <c r="E277" s="1" t="str">
        <f>RTD("rtdtrading.rtdserver",, "T&amp;T0", "AVD", 274)</f>
        <v>-</v>
      </c>
      <c r="F277" s="1" t="str">
        <f>RTD("rtdtrading.rtdserver",, "T&amp;T0", "AGR", 274)</f>
        <v>-</v>
      </c>
      <c r="G277" s="1" t="str">
        <f>RTD("rtdtrading.rtdserver",, "T&amp;T0", "AGAG", 274)</f>
        <v>-</v>
      </c>
    </row>
    <row r="278" spans="1:7" x14ac:dyDescent="0.25">
      <c r="A278" s="1" t="str">
        <f>RTD("rtdtrading.rtdserver",, "T&amp;T0", "DAT", 275)</f>
        <v>-</v>
      </c>
      <c r="B278" s="1" t="str">
        <f>RTD("rtdtrading.rtdserver",, "T&amp;T0", "ACP", 275)</f>
        <v>-</v>
      </c>
      <c r="C278" s="1">
        <f>RTD("rtdtrading.rtdserver",, "T&amp;T0", "PRE", 275)</f>
        <v>0</v>
      </c>
      <c r="D278" s="1">
        <f>RTD("rtdtrading.rtdserver",, "T&amp;T0", "QUL", 275)</f>
        <v>0</v>
      </c>
      <c r="E278" s="1" t="str">
        <f>RTD("rtdtrading.rtdserver",, "T&amp;T0", "AVD", 275)</f>
        <v>-</v>
      </c>
      <c r="F278" s="1" t="str">
        <f>RTD("rtdtrading.rtdserver",, "T&amp;T0", "AGR", 275)</f>
        <v>-</v>
      </c>
      <c r="G278" s="1" t="str">
        <f>RTD("rtdtrading.rtdserver",, "T&amp;T0", "AGAG", 275)</f>
        <v>-</v>
      </c>
    </row>
    <row r="279" spans="1:7" x14ac:dyDescent="0.25">
      <c r="A279" s="1" t="str">
        <f>RTD("rtdtrading.rtdserver",, "T&amp;T0", "DAT", 276)</f>
        <v>-</v>
      </c>
      <c r="B279" s="1" t="str">
        <f>RTD("rtdtrading.rtdserver",, "T&amp;T0", "ACP", 276)</f>
        <v>-</v>
      </c>
      <c r="C279" s="1">
        <f>RTD("rtdtrading.rtdserver",, "T&amp;T0", "PRE", 276)</f>
        <v>0</v>
      </c>
      <c r="D279" s="1">
        <f>RTD("rtdtrading.rtdserver",, "T&amp;T0", "QUL", 276)</f>
        <v>0</v>
      </c>
      <c r="E279" s="1" t="str">
        <f>RTD("rtdtrading.rtdserver",, "T&amp;T0", "AVD", 276)</f>
        <v>-</v>
      </c>
      <c r="F279" s="1" t="str">
        <f>RTD("rtdtrading.rtdserver",, "T&amp;T0", "AGR", 276)</f>
        <v>-</v>
      </c>
      <c r="G279" s="1" t="str">
        <f>RTD("rtdtrading.rtdserver",, "T&amp;T0", "AGAG", 276)</f>
        <v>-</v>
      </c>
    </row>
    <row r="280" spans="1:7" x14ac:dyDescent="0.25">
      <c r="A280" s="1" t="str">
        <f>RTD("rtdtrading.rtdserver",, "T&amp;T0", "DAT", 277)</f>
        <v>-</v>
      </c>
      <c r="B280" s="1" t="str">
        <f>RTD("rtdtrading.rtdserver",, "T&amp;T0", "ACP", 277)</f>
        <v>-</v>
      </c>
      <c r="C280" s="1">
        <f>RTD("rtdtrading.rtdserver",, "T&amp;T0", "PRE", 277)</f>
        <v>0</v>
      </c>
      <c r="D280" s="1">
        <f>RTD("rtdtrading.rtdserver",, "T&amp;T0", "QUL", 277)</f>
        <v>0</v>
      </c>
      <c r="E280" s="1" t="str">
        <f>RTD("rtdtrading.rtdserver",, "T&amp;T0", "AVD", 277)</f>
        <v>-</v>
      </c>
      <c r="F280" s="1" t="str">
        <f>RTD("rtdtrading.rtdserver",, "T&amp;T0", "AGR", 277)</f>
        <v>-</v>
      </c>
      <c r="G280" s="1" t="str">
        <f>RTD("rtdtrading.rtdserver",, "T&amp;T0", "AGAG", 277)</f>
        <v>-</v>
      </c>
    </row>
    <row r="281" spans="1:7" x14ac:dyDescent="0.25">
      <c r="A281" s="1" t="str">
        <f>RTD("rtdtrading.rtdserver",, "T&amp;T0", "DAT", 278)</f>
        <v>-</v>
      </c>
      <c r="B281" s="1" t="str">
        <f>RTD("rtdtrading.rtdserver",, "T&amp;T0", "ACP", 278)</f>
        <v>-</v>
      </c>
      <c r="C281" s="1">
        <f>RTD("rtdtrading.rtdserver",, "T&amp;T0", "PRE", 278)</f>
        <v>0</v>
      </c>
      <c r="D281" s="1">
        <f>RTD("rtdtrading.rtdserver",, "T&amp;T0", "QUL", 278)</f>
        <v>0</v>
      </c>
      <c r="E281" s="1" t="str">
        <f>RTD("rtdtrading.rtdserver",, "T&amp;T0", "AVD", 278)</f>
        <v>-</v>
      </c>
      <c r="F281" s="1" t="str">
        <f>RTD("rtdtrading.rtdserver",, "T&amp;T0", "AGR", 278)</f>
        <v>-</v>
      </c>
      <c r="G281" s="1" t="str">
        <f>RTD("rtdtrading.rtdserver",, "T&amp;T0", "AGAG", 278)</f>
        <v>-</v>
      </c>
    </row>
    <row r="282" spans="1:7" x14ac:dyDescent="0.25">
      <c r="A282" s="1" t="str">
        <f>RTD("rtdtrading.rtdserver",, "T&amp;T0", "DAT", 279)</f>
        <v>-</v>
      </c>
      <c r="B282" s="1" t="str">
        <f>RTD("rtdtrading.rtdserver",, "T&amp;T0", "ACP", 279)</f>
        <v>-</v>
      </c>
      <c r="C282" s="1">
        <f>RTD("rtdtrading.rtdserver",, "T&amp;T0", "PRE", 279)</f>
        <v>0</v>
      </c>
      <c r="D282" s="1">
        <f>RTD("rtdtrading.rtdserver",, "T&amp;T0", "QUL", 279)</f>
        <v>0</v>
      </c>
      <c r="E282" s="1" t="str">
        <f>RTD("rtdtrading.rtdserver",, "T&amp;T0", "AVD", 279)</f>
        <v>-</v>
      </c>
      <c r="F282" s="1" t="str">
        <f>RTD("rtdtrading.rtdserver",, "T&amp;T0", "AGR", 279)</f>
        <v>-</v>
      </c>
      <c r="G282" s="1" t="str">
        <f>RTD("rtdtrading.rtdserver",, "T&amp;T0", "AGAG", 279)</f>
        <v>-</v>
      </c>
    </row>
    <row r="283" spans="1:7" x14ac:dyDescent="0.25">
      <c r="A283" s="1" t="str">
        <f>RTD("rtdtrading.rtdserver",, "T&amp;T0", "DAT", 280)</f>
        <v>-</v>
      </c>
      <c r="B283" s="1" t="str">
        <f>RTD("rtdtrading.rtdserver",, "T&amp;T0", "ACP", 280)</f>
        <v>-</v>
      </c>
      <c r="C283" s="1">
        <f>RTD("rtdtrading.rtdserver",, "T&amp;T0", "PRE", 280)</f>
        <v>0</v>
      </c>
      <c r="D283" s="1">
        <f>RTD("rtdtrading.rtdserver",, "T&amp;T0", "QUL", 280)</f>
        <v>0</v>
      </c>
      <c r="E283" s="1" t="str">
        <f>RTD("rtdtrading.rtdserver",, "T&amp;T0", "AVD", 280)</f>
        <v>-</v>
      </c>
      <c r="F283" s="1" t="str">
        <f>RTD("rtdtrading.rtdserver",, "T&amp;T0", "AGR", 280)</f>
        <v>-</v>
      </c>
      <c r="G283" s="1" t="str">
        <f>RTD("rtdtrading.rtdserver",, "T&amp;T0", "AGAG", 280)</f>
        <v>-</v>
      </c>
    </row>
    <row r="284" spans="1:7" x14ac:dyDescent="0.25">
      <c r="A284" s="1" t="str">
        <f>RTD("rtdtrading.rtdserver",, "T&amp;T0", "DAT", 281)</f>
        <v>-</v>
      </c>
      <c r="B284" s="1" t="str">
        <f>RTD("rtdtrading.rtdserver",, "T&amp;T0", "ACP", 281)</f>
        <v>-</v>
      </c>
      <c r="C284" s="1">
        <f>RTD("rtdtrading.rtdserver",, "T&amp;T0", "PRE", 281)</f>
        <v>0</v>
      </c>
      <c r="D284" s="1">
        <f>RTD("rtdtrading.rtdserver",, "T&amp;T0", "QUL", 281)</f>
        <v>0</v>
      </c>
      <c r="E284" s="1" t="str">
        <f>RTD("rtdtrading.rtdserver",, "T&amp;T0", "AVD", 281)</f>
        <v>-</v>
      </c>
      <c r="F284" s="1" t="str">
        <f>RTD("rtdtrading.rtdserver",, "T&amp;T0", "AGR", 281)</f>
        <v>-</v>
      </c>
      <c r="G284" s="1" t="str">
        <f>RTD("rtdtrading.rtdserver",, "T&amp;T0", "AGAG", 281)</f>
        <v>-</v>
      </c>
    </row>
    <row r="285" spans="1:7" x14ac:dyDescent="0.25">
      <c r="A285" s="1" t="str">
        <f>RTD("rtdtrading.rtdserver",, "T&amp;T0", "DAT", 282)</f>
        <v>-</v>
      </c>
      <c r="B285" s="1" t="str">
        <f>RTD("rtdtrading.rtdserver",, "T&amp;T0", "ACP", 282)</f>
        <v>-</v>
      </c>
      <c r="C285" s="1">
        <f>RTD("rtdtrading.rtdserver",, "T&amp;T0", "PRE", 282)</f>
        <v>0</v>
      </c>
      <c r="D285" s="1">
        <f>RTD("rtdtrading.rtdserver",, "T&amp;T0", "QUL", 282)</f>
        <v>0</v>
      </c>
      <c r="E285" s="1" t="str">
        <f>RTD("rtdtrading.rtdserver",, "T&amp;T0", "AVD", 282)</f>
        <v>-</v>
      </c>
      <c r="F285" s="1" t="str">
        <f>RTD("rtdtrading.rtdserver",, "T&amp;T0", "AGR", 282)</f>
        <v>-</v>
      </c>
      <c r="G285" s="1" t="str">
        <f>RTD("rtdtrading.rtdserver",, "T&amp;T0", "AGAG", 282)</f>
        <v>-</v>
      </c>
    </row>
    <row r="286" spans="1:7" x14ac:dyDescent="0.25">
      <c r="A286" s="1" t="str">
        <f>RTD("rtdtrading.rtdserver",, "T&amp;T0", "DAT", 283)</f>
        <v>-</v>
      </c>
      <c r="B286" s="1" t="str">
        <f>RTD("rtdtrading.rtdserver",, "T&amp;T0", "ACP", 283)</f>
        <v>-</v>
      </c>
      <c r="C286" s="1">
        <f>RTD("rtdtrading.rtdserver",, "T&amp;T0", "PRE", 283)</f>
        <v>0</v>
      </c>
      <c r="D286" s="1">
        <f>RTD("rtdtrading.rtdserver",, "T&amp;T0", "QUL", 283)</f>
        <v>0</v>
      </c>
      <c r="E286" s="1" t="str">
        <f>RTD("rtdtrading.rtdserver",, "T&amp;T0", "AVD", 283)</f>
        <v>-</v>
      </c>
      <c r="F286" s="1" t="str">
        <f>RTD("rtdtrading.rtdserver",, "T&amp;T0", "AGR", 283)</f>
        <v>-</v>
      </c>
      <c r="G286" s="1" t="str">
        <f>RTD("rtdtrading.rtdserver",, "T&amp;T0", "AGAG", 283)</f>
        <v>-</v>
      </c>
    </row>
    <row r="287" spans="1:7" x14ac:dyDescent="0.25">
      <c r="A287" s="1" t="str">
        <f>RTD("rtdtrading.rtdserver",, "T&amp;T0", "DAT", 284)</f>
        <v>-</v>
      </c>
      <c r="B287" s="1" t="str">
        <f>RTD("rtdtrading.rtdserver",, "T&amp;T0", "ACP", 284)</f>
        <v>-</v>
      </c>
      <c r="C287" s="1">
        <f>RTD("rtdtrading.rtdserver",, "T&amp;T0", "PRE", 284)</f>
        <v>0</v>
      </c>
      <c r="D287" s="1">
        <f>RTD("rtdtrading.rtdserver",, "T&amp;T0", "QUL", 284)</f>
        <v>0</v>
      </c>
      <c r="E287" s="1" t="str">
        <f>RTD("rtdtrading.rtdserver",, "T&amp;T0", "AVD", 284)</f>
        <v>-</v>
      </c>
      <c r="F287" s="1" t="str">
        <f>RTD("rtdtrading.rtdserver",, "T&amp;T0", "AGR", 284)</f>
        <v>-</v>
      </c>
      <c r="G287" s="1" t="str">
        <f>RTD("rtdtrading.rtdserver",, "T&amp;T0", "AGAG", 284)</f>
        <v>-</v>
      </c>
    </row>
    <row r="288" spans="1:7" x14ac:dyDescent="0.25">
      <c r="A288" s="1" t="str">
        <f>RTD("rtdtrading.rtdserver",, "T&amp;T0", "DAT", 285)</f>
        <v>-</v>
      </c>
      <c r="B288" s="1" t="str">
        <f>RTD("rtdtrading.rtdserver",, "T&amp;T0", "ACP", 285)</f>
        <v>-</v>
      </c>
      <c r="C288" s="1">
        <f>RTD("rtdtrading.rtdserver",, "T&amp;T0", "PRE", 285)</f>
        <v>0</v>
      </c>
      <c r="D288" s="1">
        <f>RTD("rtdtrading.rtdserver",, "T&amp;T0", "QUL", 285)</f>
        <v>0</v>
      </c>
      <c r="E288" s="1" t="str">
        <f>RTD("rtdtrading.rtdserver",, "T&amp;T0", "AVD", 285)</f>
        <v>-</v>
      </c>
      <c r="F288" s="1" t="str">
        <f>RTD("rtdtrading.rtdserver",, "T&amp;T0", "AGR", 285)</f>
        <v>-</v>
      </c>
      <c r="G288" s="1" t="str">
        <f>RTD("rtdtrading.rtdserver",, "T&amp;T0", "AGAG", 285)</f>
        <v>-</v>
      </c>
    </row>
    <row r="289" spans="1:7" x14ac:dyDescent="0.25">
      <c r="A289" s="1" t="str">
        <f>RTD("rtdtrading.rtdserver",, "T&amp;T0", "DAT", 286)</f>
        <v>-</v>
      </c>
      <c r="B289" s="1" t="str">
        <f>RTD("rtdtrading.rtdserver",, "T&amp;T0", "ACP", 286)</f>
        <v>-</v>
      </c>
      <c r="C289" s="1">
        <f>RTD("rtdtrading.rtdserver",, "T&amp;T0", "PRE", 286)</f>
        <v>0</v>
      </c>
      <c r="D289" s="1">
        <f>RTD("rtdtrading.rtdserver",, "T&amp;T0", "QUL", 286)</f>
        <v>0</v>
      </c>
      <c r="E289" s="1" t="str">
        <f>RTD("rtdtrading.rtdserver",, "T&amp;T0", "AVD", 286)</f>
        <v>-</v>
      </c>
      <c r="F289" s="1" t="str">
        <f>RTD("rtdtrading.rtdserver",, "T&amp;T0", "AGR", 286)</f>
        <v>-</v>
      </c>
      <c r="G289" s="1" t="str">
        <f>RTD("rtdtrading.rtdserver",, "T&amp;T0", "AGAG", 286)</f>
        <v>-</v>
      </c>
    </row>
    <row r="290" spans="1:7" x14ac:dyDescent="0.25">
      <c r="A290" s="1" t="str">
        <f>RTD("rtdtrading.rtdserver",, "T&amp;T0", "DAT", 287)</f>
        <v>-</v>
      </c>
      <c r="B290" s="1" t="str">
        <f>RTD("rtdtrading.rtdserver",, "T&amp;T0", "ACP", 287)</f>
        <v>-</v>
      </c>
      <c r="C290" s="1">
        <f>RTD("rtdtrading.rtdserver",, "T&amp;T0", "PRE", 287)</f>
        <v>0</v>
      </c>
      <c r="D290" s="1">
        <f>RTD("rtdtrading.rtdserver",, "T&amp;T0", "QUL", 287)</f>
        <v>0</v>
      </c>
      <c r="E290" s="1" t="str">
        <f>RTD("rtdtrading.rtdserver",, "T&amp;T0", "AVD", 287)</f>
        <v>-</v>
      </c>
      <c r="F290" s="1" t="str">
        <f>RTD("rtdtrading.rtdserver",, "T&amp;T0", "AGR", 287)</f>
        <v>-</v>
      </c>
      <c r="G290" s="1" t="str">
        <f>RTD("rtdtrading.rtdserver",, "T&amp;T0", "AGAG", 287)</f>
        <v>-</v>
      </c>
    </row>
    <row r="291" spans="1:7" x14ac:dyDescent="0.25">
      <c r="A291" s="1" t="str">
        <f>RTD("rtdtrading.rtdserver",, "T&amp;T0", "DAT", 288)</f>
        <v>-</v>
      </c>
      <c r="B291" s="1" t="str">
        <f>RTD("rtdtrading.rtdserver",, "T&amp;T0", "ACP", 288)</f>
        <v>-</v>
      </c>
      <c r="C291" s="1">
        <f>RTD("rtdtrading.rtdserver",, "T&amp;T0", "PRE", 288)</f>
        <v>0</v>
      </c>
      <c r="D291" s="1">
        <f>RTD("rtdtrading.rtdserver",, "T&amp;T0", "QUL", 288)</f>
        <v>0</v>
      </c>
      <c r="E291" s="1" t="str">
        <f>RTD("rtdtrading.rtdserver",, "T&amp;T0", "AVD", 288)</f>
        <v>-</v>
      </c>
      <c r="F291" s="1" t="str">
        <f>RTD("rtdtrading.rtdserver",, "T&amp;T0", "AGR", 288)</f>
        <v>-</v>
      </c>
      <c r="G291" s="1" t="str">
        <f>RTD("rtdtrading.rtdserver",, "T&amp;T0", "AGAG", 288)</f>
        <v>-</v>
      </c>
    </row>
    <row r="292" spans="1:7" x14ac:dyDescent="0.25">
      <c r="A292" s="1" t="str">
        <f>RTD("rtdtrading.rtdserver",, "T&amp;T0", "DAT", 289)</f>
        <v>-</v>
      </c>
      <c r="B292" s="1" t="str">
        <f>RTD("rtdtrading.rtdserver",, "T&amp;T0", "ACP", 289)</f>
        <v>-</v>
      </c>
      <c r="C292" s="1">
        <f>RTD("rtdtrading.rtdserver",, "T&amp;T0", "PRE", 289)</f>
        <v>0</v>
      </c>
      <c r="D292" s="1">
        <f>RTD("rtdtrading.rtdserver",, "T&amp;T0", "QUL", 289)</f>
        <v>0</v>
      </c>
      <c r="E292" s="1" t="str">
        <f>RTD("rtdtrading.rtdserver",, "T&amp;T0", "AVD", 289)</f>
        <v>-</v>
      </c>
      <c r="F292" s="1" t="str">
        <f>RTD("rtdtrading.rtdserver",, "T&amp;T0", "AGR", 289)</f>
        <v>-</v>
      </c>
      <c r="G292" s="1" t="str">
        <f>RTD("rtdtrading.rtdserver",, "T&amp;T0", "AGAG", 289)</f>
        <v>-</v>
      </c>
    </row>
    <row r="293" spans="1:7" x14ac:dyDescent="0.25">
      <c r="A293" s="1" t="str">
        <f>RTD("rtdtrading.rtdserver",, "T&amp;T0", "DAT", 290)</f>
        <v>-</v>
      </c>
      <c r="B293" s="1" t="str">
        <f>RTD("rtdtrading.rtdserver",, "T&amp;T0", "ACP", 290)</f>
        <v>-</v>
      </c>
      <c r="C293" s="1">
        <f>RTD("rtdtrading.rtdserver",, "T&amp;T0", "PRE", 290)</f>
        <v>0</v>
      </c>
      <c r="D293" s="1">
        <f>RTD("rtdtrading.rtdserver",, "T&amp;T0", "QUL", 290)</f>
        <v>0</v>
      </c>
      <c r="E293" s="1" t="str">
        <f>RTD("rtdtrading.rtdserver",, "T&amp;T0", "AVD", 290)</f>
        <v>-</v>
      </c>
      <c r="F293" s="1" t="str">
        <f>RTD("rtdtrading.rtdserver",, "T&amp;T0", "AGR", 290)</f>
        <v>-</v>
      </c>
      <c r="G293" s="1" t="str">
        <f>RTD("rtdtrading.rtdserver",, "T&amp;T0", "AGAG", 290)</f>
        <v>-</v>
      </c>
    </row>
    <row r="294" spans="1:7" x14ac:dyDescent="0.25">
      <c r="A294" s="1" t="str">
        <f>RTD("rtdtrading.rtdserver",, "T&amp;T0", "DAT", 291)</f>
        <v>-</v>
      </c>
      <c r="B294" s="1" t="str">
        <f>RTD("rtdtrading.rtdserver",, "T&amp;T0", "ACP", 291)</f>
        <v>-</v>
      </c>
      <c r="C294" s="1">
        <f>RTD("rtdtrading.rtdserver",, "T&amp;T0", "PRE", 291)</f>
        <v>0</v>
      </c>
      <c r="D294" s="1">
        <f>RTD("rtdtrading.rtdserver",, "T&amp;T0", "QUL", 291)</f>
        <v>0</v>
      </c>
      <c r="E294" s="1" t="str">
        <f>RTD("rtdtrading.rtdserver",, "T&amp;T0", "AVD", 291)</f>
        <v>-</v>
      </c>
      <c r="F294" s="1" t="str">
        <f>RTD("rtdtrading.rtdserver",, "T&amp;T0", "AGR", 291)</f>
        <v>-</v>
      </c>
      <c r="G294" s="1" t="str">
        <f>RTD("rtdtrading.rtdserver",, "T&amp;T0", "AGAG", 291)</f>
        <v>-</v>
      </c>
    </row>
    <row r="295" spans="1:7" x14ac:dyDescent="0.25">
      <c r="A295" s="1" t="str">
        <f>RTD("rtdtrading.rtdserver",, "T&amp;T0", "DAT", 292)</f>
        <v>-</v>
      </c>
      <c r="B295" s="1" t="str">
        <f>RTD("rtdtrading.rtdserver",, "T&amp;T0", "ACP", 292)</f>
        <v>-</v>
      </c>
      <c r="C295" s="1">
        <f>RTD("rtdtrading.rtdserver",, "T&amp;T0", "PRE", 292)</f>
        <v>0</v>
      </c>
      <c r="D295" s="1">
        <f>RTD("rtdtrading.rtdserver",, "T&amp;T0", "QUL", 292)</f>
        <v>0</v>
      </c>
      <c r="E295" s="1" t="str">
        <f>RTD("rtdtrading.rtdserver",, "T&amp;T0", "AVD", 292)</f>
        <v>-</v>
      </c>
      <c r="F295" s="1" t="str">
        <f>RTD("rtdtrading.rtdserver",, "T&amp;T0", "AGR", 292)</f>
        <v>-</v>
      </c>
      <c r="G295" s="1" t="str">
        <f>RTD("rtdtrading.rtdserver",, "T&amp;T0", "AGAG", 292)</f>
        <v>-</v>
      </c>
    </row>
    <row r="296" spans="1:7" x14ac:dyDescent="0.25">
      <c r="A296" s="1" t="str">
        <f>RTD("rtdtrading.rtdserver",, "T&amp;T0", "DAT", 293)</f>
        <v>-</v>
      </c>
      <c r="B296" s="1" t="str">
        <f>RTD("rtdtrading.rtdserver",, "T&amp;T0", "ACP", 293)</f>
        <v>-</v>
      </c>
      <c r="C296" s="1">
        <f>RTD("rtdtrading.rtdserver",, "T&amp;T0", "PRE", 293)</f>
        <v>0</v>
      </c>
      <c r="D296" s="1">
        <f>RTD("rtdtrading.rtdserver",, "T&amp;T0", "QUL", 293)</f>
        <v>0</v>
      </c>
      <c r="E296" s="1" t="str">
        <f>RTD("rtdtrading.rtdserver",, "T&amp;T0", "AVD", 293)</f>
        <v>-</v>
      </c>
      <c r="F296" s="1" t="str">
        <f>RTD("rtdtrading.rtdserver",, "T&amp;T0", "AGR", 293)</f>
        <v>-</v>
      </c>
      <c r="G296" s="1" t="str">
        <f>RTD("rtdtrading.rtdserver",, "T&amp;T0", "AGAG", 293)</f>
        <v>-</v>
      </c>
    </row>
    <row r="297" spans="1:7" x14ac:dyDescent="0.25">
      <c r="A297" s="1" t="str">
        <f>RTD("rtdtrading.rtdserver",, "T&amp;T0", "DAT", 294)</f>
        <v>-</v>
      </c>
      <c r="B297" s="1" t="str">
        <f>RTD("rtdtrading.rtdserver",, "T&amp;T0", "ACP", 294)</f>
        <v>-</v>
      </c>
      <c r="C297" s="1">
        <f>RTD("rtdtrading.rtdserver",, "T&amp;T0", "PRE", 294)</f>
        <v>0</v>
      </c>
      <c r="D297" s="1">
        <f>RTD("rtdtrading.rtdserver",, "T&amp;T0", "QUL", 294)</f>
        <v>0</v>
      </c>
      <c r="E297" s="1" t="str">
        <f>RTD("rtdtrading.rtdserver",, "T&amp;T0", "AVD", 294)</f>
        <v>-</v>
      </c>
      <c r="F297" s="1" t="str">
        <f>RTD("rtdtrading.rtdserver",, "T&amp;T0", "AGR", 294)</f>
        <v>-</v>
      </c>
      <c r="G297" s="1" t="str">
        <f>RTD("rtdtrading.rtdserver",, "T&amp;T0", "AGAG", 294)</f>
        <v>-</v>
      </c>
    </row>
    <row r="298" spans="1:7" x14ac:dyDescent="0.25">
      <c r="A298" s="1" t="str">
        <f>RTD("rtdtrading.rtdserver",, "T&amp;T0", "DAT", 295)</f>
        <v>-</v>
      </c>
      <c r="B298" s="1" t="str">
        <f>RTD("rtdtrading.rtdserver",, "T&amp;T0", "ACP", 295)</f>
        <v>-</v>
      </c>
      <c r="C298" s="1">
        <f>RTD("rtdtrading.rtdserver",, "T&amp;T0", "PRE", 295)</f>
        <v>0</v>
      </c>
      <c r="D298" s="1">
        <f>RTD("rtdtrading.rtdserver",, "T&amp;T0", "QUL", 295)</f>
        <v>0</v>
      </c>
      <c r="E298" s="1" t="str">
        <f>RTD("rtdtrading.rtdserver",, "T&amp;T0", "AVD", 295)</f>
        <v>-</v>
      </c>
      <c r="F298" s="1" t="str">
        <f>RTD("rtdtrading.rtdserver",, "T&amp;T0", "AGR", 295)</f>
        <v>-</v>
      </c>
      <c r="G298" s="1" t="str">
        <f>RTD("rtdtrading.rtdserver",, "T&amp;T0", "AGAG", 295)</f>
        <v>-</v>
      </c>
    </row>
    <row r="299" spans="1:7" x14ac:dyDescent="0.25">
      <c r="A299" s="1" t="str">
        <f>RTD("rtdtrading.rtdserver",, "T&amp;T0", "DAT", 296)</f>
        <v>-</v>
      </c>
      <c r="B299" s="1" t="str">
        <f>RTD("rtdtrading.rtdserver",, "T&amp;T0", "ACP", 296)</f>
        <v>-</v>
      </c>
      <c r="C299" s="1">
        <f>RTD("rtdtrading.rtdserver",, "T&amp;T0", "PRE", 296)</f>
        <v>0</v>
      </c>
      <c r="D299" s="1">
        <f>RTD("rtdtrading.rtdserver",, "T&amp;T0", "QUL", 296)</f>
        <v>0</v>
      </c>
      <c r="E299" s="1" t="str">
        <f>RTD("rtdtrading.rtdserver",, "T&amp;T0", "AVD", 296)</f>
        <v>-</v>
      </c>
      <c r="F299" s="1" t="str">
        <f>RTD("rtdtrading.rtdserver",, "T&amp;T0", "AGR", 296)</f>
        <v>-</v>
      </c>
      <c r="G299" s="1" t="str">
        <f>RTD("rtdtrading.rtdserver",, "T&amp;T0", "AGAG", 296)</f>
        <v>-</v>
      </c>
    </row>
    <row r="300" spans="1:7" x14ac:dyDescent="0.25">
      <c r="A300" s="1" t="str">
        <f>RTD("rtdtrading.rtdserver",, "T&amp;T0", "DAT", 297)</f>
        <v>-</v>
      </c>
      <c r="B300" s="1" t="str">
        <f>RTD("rtdtrading.rtdserver",, "T&amp;T0", "ACP", 297)</f>
        <v>-</v>
      </c>
      <c r="C300" s="1">
        <f>RTD("rtdtrading.rtdserver",, "T&amp;T0", "PRE", 297)</f>
        <v>0</v>
      </c>
      <c r="D300" s="1">
        <f>RTD("rtdtrading.rtdserver",, "T&amp;T0", "QUL", 297)</f>
        <v>0</v>
      </c>
      <c r="E300" s="1" t="str">
        <f>RTD("rtdtrading.rtdserver",, "T&amp;T0", "AVD", 297)</f>
        <v>-</v>
      </c>
      <c r="F300" s="1" t="str">
        <f>RTD("rtdtrading.rtdserver",, "T&amp;T0", "AGR", 297)</f>
        <v>-</v>
      </c>
      <c r="G300" s="1" t="str">
        <f>RTD("rtdtrading.rtdserver",, "T&amp;T0", "AGAG", 297)</f>
        <v>-</v>
      </c>
    </row>
    <row r="301" spans="1:7" x14ac:dyDescent="0.25">
      <c r="A301" s="1" t="str">
        <f>RTD("rtdtrading.rtdserver",, "T&amp;T0", "DAT", 298)</f>
        <v>-</v>
      </c>
      <c r="B301" s="1" t="str">
        <f>RTD("rtdtrading.rtdserver",, "T&amp;T0", "ACP", 298)</f>
        <v>-</v>
      </c>
      <c r="C301" s="1">
        <f>RTD("rtdtrading.rtdserver",, "T&amp;T0", "PRE", 298)</f>
        <v>0</v>
      </c>
      <c r="D301" s="1">
        <f>RTD("rtdtrading.rtdserver",, "T&amp;T0", "QUL", 298)</f>
        <v>0</v>
      </c>
      <c r="E301" s="1" t="str">
        <f>RTD("rtdtrading.rtdserver",, "T&amp;T0", "AVD", 298)</f>
        <v>-</v>
      </c>
      <c r="F301" s="1" t="str">
        <f>RTD("rtdtrading.rtdserver",, "T&amp;T0", "AGR", 298)</f>
        <v>-</v>
      </c>
      <c r="G301" s="1" t="str">
        <f>RTD("rtdtrading.rtdserver",, "T&amp;T0", "AGAG", 298)</f>
        <v>-</v>
      </c>
    </row>
    <row r="302" spans="1:7" x14ac:dyDescent="0.25">
      <c r="A302" s="1" t="str">
        <f>RTD("rtdtrading.rtdserver",, "T&amp;T0", "DAT", 299)</f>
        <v>-</v>
      </c>
      <c r="B302" s="1" t="str">
        <f>RTD("rtdtrading.rtdserver",, "T&amp;T0", "ACP", 299)</f>
        <v>-</v>
      </c>
      <c r="C302" s="1">
        <f>RTD("rtdtrading.rtdserver",, "T&amp;T0", "PRE", 299)</f>
        <v>0</v>
      </c>
      <c r="D302" s="1">
        <f>RTD("rtdtrading.rtdserver",, "T&amp;T0", "QUL", 299)</f>
        <v>0</v>
      </c>
      <c r="E302" s="1" t="str">
        <f>RTD("rtdtrading.rtdserver",, "T&amp;T0", "AVD", 299)</f>
        <v>-</v>
      </c>
      <c r="F302" s="1" t="str">
        <f>RTD("rtdtrading.rtdserver",, "T&amp;T0", "AGR", 299)</f>
        <v>-</v>
      </c>
      <c r="G302" s="1" t="str">
        <f>RTD("rtdtrading.rtdserver",, "T&amp;T0", "AGAG", 299)</f>
        <v>-</v>
      </c>
    </row>
    <row r="303" spans="1:7" x14ac:dyDescent="0.25">
      <c r="A303" s="1" t="str">
        <f>RTD("rtdtrading.rtdserver",, "T&amp;T0", "DAT", 300)</f>
        <v>-</v>
      </c>
      <c r="B303" s="1" t="str">
        <f>RTD("rtdtrading.rtdserver",, "T&amp;T0", "ACP", 300)</f>
        <v>-</v>
      </c>
      <c r="C303" s="1">
        <f>RTD("rtdtrading.rtdserver",, "T&amp;T0", "PRE", 300)</f>
        <v>0</v>
      </c>
      <c r="D303" s="1">
        <f>RTD("rtdtrading.rtdserver",, "T&amp;T0", "QUL", 300)</f>
        <v>0</v>
      </c>
      <c r="E303" s="1" t="str">
        <f>RTD("rtdtrading.rtdserver",, "T&amp;T0", "AVD", 300)</f>
        <v>-</v>
      </c>
      <c r="F303" s="1" t="str">
        <f>RTD("rtdtrading.rtdserver",, "T&amp;T0", "AGR", 300)</f>
        <v>-</v>
      </c>
      <c r="G303" s="1" t="str">
        <f>RTD("rtdtrading.rtdserver",, "T&amp;T0", "AGAG", 300)</f>
        <v>-</v>
      </c>
    </row>
    <row r="304" spans="1:7" x14ac:dyDescent="0.25">
      <c r="A304" s="1" t="str">
        <f>RTD("rtdtrading.rtdserver",, "T&amp;T0", "DAT", 301)</f>
        <v>-</v>
      </c>
      <c r="B304" s="1" t="str">
        <f>RTD("rtdtrading.rtdserver",, "T&amp;T0", "ACP", 301)</f>
        <v>-</v>
      </c>
      <c r="C304" s="1">
        <f>RTD("rtdtrading.rtdserver",, "T&amp;T0", "PRE", 301)</f>
        <v>0</v>
      </c>
      <c r="D304" s="1">
        <f>RTD("rtdtrading.rtdserver",, "T&amp;T0", "QUL", 301)</f>
        <v>0</v>
      </c>
      <c r="E304" s="1" t="str">
        <f>RTD("rtdtrading.rtdserver",, "T&amp;T0", "AVD", 301)</f>
        <v>-</v>
      </c>
      <c r="F304" s="1" t="str">
        <f>RTD("rtdtrading.rtdserver",, "T&amp;T0", "AGR", 301)</f>
        <v>-</v>
      </c>
      <c r="G304" s="1" t="str">
        <f>RTD("rtdtrading.rtdserver",, "T&amp;T0", "AGAG", 301)</f>
        <v>-</v>
      </c>
    </row>
    <row r="305" spans="1:7" x14ac:dyDescent="0.25">
      <c r="A305" s="1" t="str">
        <f>RTD("rtdtrading.rtdserver",, "T&amp;T0", "DAT", 302)</f>
        <v>-</v>
      </c>
      <c r="B305" s="1" t="str">
        <f>RTD("rtdtrading.rtdserver",, "T&amp;T0", "ACP", 302)</f>
        <v>-</v>
      </c>
      <c r="C305" s="1">
        <f>RTD("rtdtrading.rtdserver",, "T&amp;T0", "PRE", 302)</f>
        <v>0</v>
      </c>
      <c r="D305" s="1">
        <f>RTD("rtdtrading.rtdserver",, "T&amp;T0", "QUL", 302)</f>
        <v>0</v>
      </c>
      <c r="E305" s="1" t="str">
        <f>RTD("rtdtrading.rtdserver",, "T&amp;T0", "AVD", 302)</f>
        <v>-</v>
      </c>
      <c r="F305" s="1" t="str">
        <f>RTD("rtdtrading.rtdserver",, "T&amp;T0", "AGR", 302)</f>
        <v>-</v>
      </c>
      <c r="G305" s="1" t="str">
        <f>RTD("rtdtrading.rtdserver",, "T&amp;T0", "AGAG", 302)</f>
        <v>-</v>
      </c>
    </row>
    <row r="306" spans="1:7" x14ac:dyDescent="0.25">
      <c r="A306" s="1" t="str">
        <f>RTD("rtdtrading.rtdserver",, "T&amp;T0", "DAT", 303)</f>
        <v>-</v>
      </c>
      <c r="B306" s="1" t="str">
        <f>RTD("rtdtrading.rtdserver",, "T&amp;T0", "ACP", 303)</f>
        <v>-</v>
      </c>
      <c r="C306" s="1">
        <f>RTD("rtdtrading.rtdserver",, "T&amp;T0", "PRE", 303)</f>
        <v>0</v>
      </c>
      <c r="D306" s="1">
        <f>RTD("rtdtrading.rtdserver",, "T&amp;T0", "QUL", 303)</f>
        <v>0</v>
      </c>
      <c r="E306" s="1" t="str">
        <f>RTD("rtdtrading.rtdserver",, "T&amp;T0", "AVD", 303)</f>
        <v>-</v>
      </c>
      <c r="F306" s="1" t="str">
        <f>RTD("rtdtrading.rtdserver",, "T&amp;T0", "AGR", 303)</f>
        <v>-</v>
      </c>
      <c r="G306" s="1" t="str">
        <f>RTD("rtdtrading.rtdserver",, "T&amp;T0", "AGAG", 303)</f>
        <v>-</v>
      </c>
    </row>
    <row r="307" spans="1:7" x14ac:dyDescent="0.25">
      <c r="A307" s="1" t="str">
        <f>RTD("rtdtrading.rtdserver",, "T&amp;T0", "DAT", 304)</f>
        <v>-</v>
      </c>
      <c r="B307" s="1" t="str">
        <f>RTD("rtdtrading.rtdserver",, "T&amp;T0", "ACP", 304)</f>
        <v>-</v>
      </c>
      <c r="C307" s="1">
        <f>RTD("rtdtrading.rtdserver",, "T&amp;T0", "PRE", 304)</f>
        <v>0</v>
      </c>
      <c r="D307" s="1">
        <f>RTD("rtdtrading.rtdserver",, "T&amp;T0", "QUL", 304)</f>
        <v>0</v>
      </c>
      <c r="E307" s="1" t="str">
        <f>RTD("rtdtrading.rtdserver",, "T&amp;T0", "AVD", 304)</f>
        <v>-</v>
      </c>
      <c r="F307" s="1" t="str">
        <f>RTD("rtdtrading.rtdserver",, "T&amp;T0", "AGR", 304)</f>
        <v>-</v>
      </c>
      <c r="G307" s="1" t="str">
        <f>RTD("rtdtrading.rtdserver",, "T&amp;T0", "AGAG", 304)</f>
        <v>-</v>
      </c>
    </row>
    <row r="308" spans="1:7" x14ac:dyDescent="0.25">
      <c r="A308" s="1" t="str">
        <f>RTD("rtdtrading.rtdserver",, "T&amp;T0", "DAT", 305)</f>
        <v>-</v>
      </c>
      <c r="B308" s="1" t="str">
        <f>RTD("rtdtrading.rtdserver",, "T&amp;T0", "ACP", 305)</f>
        <v>-</v>
      </c>
      <c r="C308" s="1">
        <f>RTD("rtdtrading.rtdserver",, "T&amp;T0", "PRE", 305)</f>
        <v>0</v>
      </c>
      <c r="D308" s="1">
        <f>RTD("rtdtrading.rtdserver",, "T&amp;T0", "QUL", 305)</f>
        <v>0</v>
      </c>
      <c r="E308" s="1" t="str">
        <f>RTD("rtdtrading.rtdserver",, "T&amp;T0", "AVD", 305)</f>
        <v>-</v>
      </c>
      <c r="F308" s="1" t="str">
        <f>RTD("rtdtrading.rtdserver",, "T&amp;T0", "AGR", 305)</f>
        <v>-</v>
      </c>
      <c r="G308" s="1" t="str">
        <f>RTD("rtdtrading.rtdserver",, "T&amp;T0", "AGAG", 305)</f>
        <v>-</v>
      </c>
    </row>
    <row r="309" spans="1:7" x14ac:dyDescent="0.25">
      <c r="A309" s="1" t="str">
        <f>RTD("rtdtrading.rtdserver",, "T&amp;T0", "DAT", 306)</f>
        <v>-</v>
      </c>
      <c r="B309" s="1" t="str">
        <f>RTD("rtdtrading.rtdserver",, "T&amp;T0", "ACP", 306)</f>
        <v>-</v>
      </c>
      <c r="C309" s="1">
        <f>RTD("rtdtrading.rtdserver",, "T&amp;T0", "PRE", 306)</f>
        <v>0</v>
      </c>
      <c r="D309" s="1">
        <f>RTD("rtdtrading.rtdserver",, "T&amp;T0", "QUL", 306)</f>
        <v>0</v>
      </c>
      <c r="E309" s="1" t="str">
        <f>RTD("rtdtrading.rtdserver",, "T&amp;T0", "AVD", 306)</f>
        <v>-</v>
      </c>
      <c r="F309" s="1" t="str">
        <f>RTD("rtdtrading.rtdserver",, "T&amp;T0", "AGR", 306)</f>
        <v>-</v>
      </c>
      <c r="G309" s="1" t="str">
        <f>RTD("rtdtrading.rtdserver",, "T&amp;T0", "AGAG", 306)</f>
        <v>-</v>
      </c>
    </row>
    <row r="310" spans="1:7" x14ac:dyDescent="0.25">
      <c r="A310" s="1" t="str">
        <f>RTD("rtdtrading.rtdserver",, "T&amp;T0", "DAT", 307)</f>
        <v>-</v>
      </c>
      <c r="B310" s="1" t="str">
        <f>RTD("rtdtrading.rtdserver",, "T&amp;T0", "ACP", 307)</f>
        <v>-</v>
      </c>
      <c r="C310" s="1">
        <f>RTD("rtdtrading.rtdserver",, "T&amp;T0", "PRE", 307)</f>
        <v>0</v>
      </c>
      <c r="D310" s="1">
        <f>RTD("rtdtrading.rtdserver",, "T&amp;T0", "QUL", 307)</f>
        <v>0</v>
      </c>
      <c r="E310" s="1" t="str">
        <f>RTD("rtdtrading.rtdserver",, "T&amp;T0", "AVD", 307)</f>
        <v>-</v>
      </c>
      <c r="F310" s="1" t="str">
        <f>RTD("rtdtrading.rtdserver",, "T&amp;T0", "AGR", 307)</f>
        <v>-</v>
      </c>
      <c r="G310" s="1" t="str">
        <f>RTD("rtdtrading.rtdserver",, "T&amp;T0", "AGAG", 307)</f>
        <v>-</v>
      </c>
    </row>
    <row r="311" spans="1:7" x14ac:dyDescent="0.25">
      <c r="A311" s="1" t="str">
        <f>RTD("rtdtrading.rtdserver",, "T&amp;T0", "DAT", 308)</f>
        <v>-</v>
      </c>
      <c r="B311" s="1" t="str">
        <f>RTD("rtdtrading.rtdserver",, "T&amp;T0", "ACP", 308)</f>
        <v>-</v>
      </c>
      <c r="C311" s="1">
        <f>RTD("rtdtrading.rtdserver",, "T&amp;T0", "PRE", 308)</f>
        <v>0</v>
      </c>
      <c r="D311" s="1">
        <f>RTD("rtdtrading.rtdserver",, "T&amp;T0", "QUL", 308)</f>
        <v>0</v>
      </c>
      <c r="E311" s="1" t="str">
        <f>RTD("rtdtrading.rtdserver",, "T&amp;T0", "AVD", 308)</f>
        <v>-</v>
      </c>
      <c r="F311" s="1" t="str">
        <f>RTD("rtdtrading.rtdserver",, "T&amp;T0", "AGR", 308)</f>
        <v>-</v>
      </c>
      <c r="G311" s="1" t="str">
        <f>RTD("rtdtrading.rtdserver",, "T&amp;T0", "AGAG", 308)</f>
        <v>-</v>
      </c>
    </row>
    <row r="312" spans="1:7" x14ac:dyDescent="0.25">
      <c r="A312" s="1" t="str">
        <f>RTD("rtdtrading.rtdserver",, "T&amp;T0", "DAT", 309)</f>
        <v>-</v>
      </c>
      <c r="B312" s="1" t="str">
        <f>RTD("rtdtrading.rtdserver",, "T&amp;T0", "ACP", 309)</f>
        <v>-</v>
      </c>
      <c r="C312" s="1">
        <f>RTD("rtdtrading.rtdserver",, "T&amp;T0", "PRE", 309)</f>
        <v>0</v>
      </c>
      <c r="D312" s="1">
        <f>RTD("rtdtrading.rtdserver",, "T&amp;T0", "QUL", 309)</f>
        <v>0</v>
      </c>
      <c r="E312" s="1" t="str">
        <f>RTD("rtdtrading.rtdserver",, "T&amp;T0", "AVD", 309)</f>
        <v>-</v>
      </c>
      <c r="F312" s="1" t="str">
        <f>RTD("rtdtrading.rtdserver",, "T&amp;T0", "AGR", 309)</f>
        <v>-</v>
      </c>
      <c r="G312" s="1" t="str">
        <f>RTD("rtdtrading.rtdserver",, "T&amp;T0", "AGAG", 309)</f>
        <v>-</v>
      </c>
    </row>
    <row r="313" spans="1:7" x14ac:dyDescent="0.25">
      <c r="A313" s="1" t="str">
        <f>RTD("rtdtrading.rtdserver",, "T&amp;T0", "DAT", 310)</f>
        <v>-</v>
      </c>
      <c r="B313" s="1" t="str">
        <f>RTD("rtdtrading.rtdserver",, "T&amp;T0", "ACP", 310)</f>
        <v>-</v>
      </c>
      <c r="C313" s="1">
        <f>RTD("rtdtrading.rtdserver",, "T&amp;T0", "PRE", 310)</f>
        <v>0</v>
      </c>
      <c r="D313" s="1">
        <f>RTD("rtdtrading.rtdserver",, "T&amp;T0", "QUL", 310)</f>
        <v>0</v>
      </c>
      <c r="E313" s="1" t="str">
        <f>RTD("rtdtrading.rtdserver",, "T&amp;T0", "AVD", 310)</f>
        <v>-</v>
      </c>
      <c r="F313" s="1" t="str">
        <f>RTD("rtdtrading.rtdserver",, "T&amp;T0", "AGR", 310)</f>
        <v>-</v>
      </c>
      <c r="G313" s="1" t="str">
        <f>RTD("rtdtrading.rtdserver",, "T&amp;T0", "AGAG", 310)</f>
        <v>-</v>
      </c>
    </row>
    <row r="314" spans="1:7" x14ac:dyDescent="0.25">
      <c r="A314" s="1" t="str">
        <f>RTD("rtdtrading.rtdserver",, "T&amp;T0", "DAT", 311)</f>
        <v>-</v>
      </c>
      <c r="B314" s="1" t="str">
        <f>RTD("rtdtrading.rtdserver",, "T&amp;T0", "ACP", 311)</f>
        <v>-</v>
      </c>
      <c r="C314" s="1">
        <f>RTD("rtdtrading.rtdserver",, "T&amp;T0", "PRE", 311)</f>
        <v>0</v>
      </c>
      <c r="D314" s="1">
        <f>RTD("rtdtrading.rtdserver",, "T&amp;T0", "QUL", 311)</f>
        <v>0</v>
      </c>
      <c r="E314" s="1" t="str">
        <f>RTD("rtdtrading.rtdserver",, "T&amp;T0", "AVD", 311)</f>
        <v>-</v>
      </c>
      <c r="F314" s="1" t="str">
        <f>RTD("rtdtrading.rtdserver",, "T&amp;T0", "AGR", 311)</f>
        <v>-</v>
      </c>
      <c r="G314" s="1" t="str">
        <f>RTD("rtdtrading.rtdserver",, "T&amp;T0", "AGAG", 311)</f>
        <v>-</v>
      </c>
    </row>
    <row r="315" spans="1:7" x14ac:dyDescent="0.25">
      <c r="A315" s="1" t="str">
        <f>RTD("rtdtrading.rtdserver",, "T&amp;T0", "DAT", 312)</f>
        <v>-</v>
      </c>
      <c r="B315" s="1" t="str">
        <f>RTD("rtdtrading.rtdserver",, "T&amp;T0", "ACP", 312)</f>
        <v>-</v>
      </c>
      <c r="C315" s="1">
        <f>RTD("rtdtrading.rtdserver",, "T&amp;T0", "PRE", 312)</f>
        <v>0</v>
      </c>
      <c r="D315" s="1">
        <f>RTD("rtdtrading.rtdserver",, "T&amp;T0", "QUL", 312)</f>
        <v>0</v>
      </c>
      <c r="E315" s="1" t="str">
        <f>RTD("rtdtrading.rtdserver",, "T&amp;T0", "AVD", 312)</f>
        <v>-</v>
      </c>
      <c r="F315" s="1" t="str">
        <f>RTD("rtdtrading.rtdserver",, "T&amp;T0", "AGR", 312)</f>
        <v>-</v>
      </c>
      <c r="G315" s="1" t="str">
        <f>RTD("rtdtrading.rtdserver",, "T&amp;T0", "AGAG", 312)</f>
        <v>-</v>
      </c>
    </row>
    <row r="316" spans="1:7" x14ac:dyDescent="0.25">
      <c r="A316" s="1" t="str">
        <f>RTD("rtdtrading.rtdserver",, "T&amp;T0", "DAT", 313)</f>
        <v>-</v>
      </c>
      <c r="B316" s="1" t="str">
        <f>RTD("rtdtrading.rtdserver",, "T&amp;T0", "ACP", 313)</f>
        <v>-</v>
      </c>
      <c r="C316" s="1">
        <f>RTD("rtdtrading.rtdserver",, "T&amp;T0", "PRE", 313)</f>
        <v>0</v>
      </c>
      <c r="D316" s="1">
        <f>RTD("rtdtrading.rtdserver",, "T&amp;T0", "QUL", 313)</f>
        <v>0</v>
      </c>
      <c r="E316" s="1" t="str">
        <f>RTD("rtdtrading.rtdserver",, "T&amp;T0", "AVD", 313)</f>
        <v>-</v>
      </c>
      <c r="F316" s="1" t="str">
        <f>RTD("rtdtrading.rtdserver",, "T&amp;T0", "AGR", 313)</f>
        <v>-</v>
      </c>
      <c r="G316" s="1" t="str">
        <f>RTD("rtdtrading.rtdserver",, "T&amp;T0", "AGAG", 313)</f>
        <v>-</v>
      </c>
    </row>
    <row r="317" spans="1:7" x14ac:dyDescent="0.25">
      <c r="A317" s="1" t="str">
        <f>RTD("rtdtrading.rtdserver",, "T&amp;T0", "DAT", 314)</f>
        <v>-</v>
      </c>
      <c r="B317" s="1" t="str">
        <f>RTD("rtdtrading.rtdserver",, "T&amp;T0", "ACP", 314)</f>
        <v>-</v>
      </c>
      <c r="C317" s="1">
        <f>RTD("rtdtrading.rtdserver",, "T&amp;T0", "PRE", 314)</f>
        <v>0</v>
      </c>
      <c r="D317" s="1">
        <f>RTD("rtdtrading.rtdserver",, "T&amp;T0", "QUL", 314)</f>
        <v>0</v>
      </c>
      <c r="E317" s="1" t="str">
        <f>RTD("rtdtrading.rtdserver",, "T&amp;T0", "AVD", 314)</f>
        <v>-</v>
      </c>
      <c r="F317" s="1" t="str">
        <f>RTD("rtdtrading.rtdserver",, "T&amp;T0", "AGR", 314)</f>
        <v>-</v>
      </c>
      <c r="G317" s="1" t="str">
        <f>RTD("rtdtrading.rtdserver",, "T&amp;T0", "AGAG", 314)</f>
        <v>-</v>
      </c>
    </row>
    <row r="318" spans="1:7" x14ac:dyDescent="0.25">
      <c r="A318" s="1" t="str">
        <f>RTD("rtdtrading.rtdserver",, "T&amp;T0", "DAT", 315)</f>
        <v>-</v>
      </c>
      <c r="B318" s="1" t="str">
        <f>RTD("rtdtrading.rtdserver",, "T&amp;T0", "ACP", 315)</f>
        <v>-</v>
      </c>
      <c r="C318" s="1">
        <f>RTD("rtdtrading.rtdserver",, "T&amp;T0", "PRE", 315)</f>
        <v>0</v>
      </c>
      <c r="D318" s="1">
        <f>RTD("rtdtrading.rtdserver",, "T&amp;T0", "QUL", 315)</f>
        <v>0</v>
      </c>
      <c r="E318" s="1" t="str">
        <f>RTD("rtdtrading.rtdserver",, "T&amp;T0", "AVD", 315)</f>
        <v>-</v>
      </c>
      <c r="F318" s="1" t="str">
        <f>RTD("rtdtrading.rtdserver",, "T&amp;T0", "AGR", 315)</f>
        <v>-</v>
      </c>
      <c r="G318" s="1" t="str">
        <f>RTD("rtdtrading.rtdserver",, "T&amp;T0", "AGAG", 315)</f>
        <v>-</v>
      </c>
    </row>
    <row r="319" spans="1:7" x14ac:dyDescent="0.25">
      <c r="A319" s="1" t="str">
        <f>RTD("rtdtrading.rtdserver",, "T&amp;T0", "DAT", 316)</f>
        <v>-</v>
      </c>
      <c r="B319" s="1" t="str">
        <f>RTD("rtdtrading.rtdserver",, "T&amp;T0", "ACP", 316)</f>
        <v>-</v>
      </c>
      <c r="C319" s="1">
        <f>RTD("rtdtrading.rtdserver",, "T&amp;T0", "PRE", 316)</f>
        <v>0</v>
      </c>
      <c r="D319" s="1">
        <f>RTD("rtdtrading.rtdserver",, "T&amp;T0", "QUL", 316)</f>
        <v>0</v>
      </c>
      <c r="E319" s="1" t="str">
        <f>RTD("rtdtrading.rtdserver",, "T&amp;T0", "AVD", 316)</f>
        <v>-</v>
      </c>
      <c r="F319" s="1" t="str">
        <f>RTD("rtdtrading.rtdserver",, "T&amp;T0", "AGR", 316)</f>
        <v>-</v>
      </c>
      <c r="G319" s="1" t="str">
        <f>RTD("rtdtrading.rtdserver",, "T&amp;T0", "AGAG", 316)</f>
        <v>-</v>
      </c>
    </row>
    <row r="320" spans="1:7" x14ac:dyDescent="0.25">
      <c r="A320" s="1" t="str">
        <f>RTD("rtdtrading.rtdserver",, "T&amp;T0", "DAT", 317)</f>
        <v>-</v>
      </c>
      <c r="B320" s="1" t="str">
        <f>RTD("rtdtrading.rtdserver",, "T&amp;T0", "ACP", 317)</f>
        <v>-</v>
      </c>
      <c r="C320" s="1">
        <f>RTD("rtdtrading.rtdserver",, "T&amp;T0", "PRE", 317)</f>
        <v>0</v>
      </c>
      <c r="D320" s="1">
        <f>RTD("rtdtrading.rtdserver",, "T&amp;T0", "QUL", 317)</f>
        <v>0</v>
      </c>
      <c r="E320" s="1" t="str">
        <f>RTD("rtdtrading.rtdserver",, "T&amp;T0", "AVD", 317)</f>
        <v>-</v>
      </c>
      <c r="F320" s="1" t="str">
        <f>RTD("rtdtrading.rtdserver",, "T&amp;T0", "AGR", 317)</f>
        <v>-</v>
      </c>
      <c r="G320" s="1" t="str">
        <f>RTD("rtdtrading.rtdserver",, "T&amp;T0", "AGAG", 317)</f>
        <v>-</v>
      </c>
    </row>
    <row r="321" spans="1:7" x14ac:dyDescent="0.25">
      <c r="A321" s="1" t="str">
        <f>RTD("rtdtrading.rtdserver",, "T&amp;T0", "DAT", 318)</f>
        <v>-</v>
      </c>
      <c r="B321" s="1" t="str">
        <f>RTD("rtdtrading.rtdserver",, "T&amp;T0", "ACP", 318)</f>
        <v>-</v>
      </c>
      <c r="C321" s="1">
        <f>RTD("rtdtrading.rtdserver",, "T&amp;T0", "PRE", 318)</f>
        <v>0</v>
      </c>
      <c r="D321" s="1">
        <f>RTD("rtdtrading.rtdserver",, "T&amp;T0", "QUL", 318)</f>
        <v>0</v>
      </c>
      <c r="E321" s="1" t="str">
        <f>RTD("rtdtrading.rtdserver",, "T&amp;T0", "AVD", 318)</f>
        <v>-</v>
      </c>
      <c r="F321" s="1" t="str">
        <f>RTD("rtdtrading.rtdserver",, "T&amp;T0", "AGR", 318)</f>
        <v>-</v>
      </c>
      <c r="G321" s="1" t="str">
        <f>RTD("rtdtrading.rtdserver",, "T&amp;T0", "AGAG", 318)</f>
        <v>-</v>
      </c>
    </row>
    <row r="322" spans="1:7" x14ac:dyDescent="0.25">
      <c r="A322" s="1" t="str">
        <f>RTD("rtdtrading.rtdserver",, "T&amp;T0", "DAT", 319)</f>
        <v>-</v>
      </c>
      <c r="B322" s="1" t="str">
        <f>RTD("rtdtrading.rtdserver",, "T&amp;T0", "ACP", 319)</f>
        <v>-</v>
      </c>
      <c r="C322" s="1">
        <f>RTD("rtdtrading.rtdserver",, "T&amp;T0", "PRE", 319)</f>
        <v>0</v>
      </c>
      <c r="D322" s="1">
        <f>RTD("rtdtrading.rtdserver",, "T&amp;T0", "QUL", 319)</f>
        <v>0</v>
      </c>
      <c r="E322" s="1" t="str">
        <f>RTD("rtdtrading.rtdserver",, "T&amp;T0", "AVD", 319)</f>
        <v>-</v>
      </c>
      <c r="F322" s="1" t="str">
        <f>RTD("rtdtrading.rtdserver",, "T&amp;T0", "AGR", 319)</f>
        <v>-</v>
      </c>
      <c r="G322" s="1" t="str">
        <f>RTD("rtdtrading.rtdserver",, "T&amp;T0", "AGAG", 319)</f>
        <v>-</v>
      </c>
    </row>
    <row r="323" spans="1:7" x14ac:dyDescent="0.25">
      <c r="A323" s="1" t="str">
        <f>RTD("rtdtrading.rtdserver",, "T&amp;T0", "DAT", 320)</f>
        <v>-</v>
      </c>
      <c r="B323" s="1" t="str">
        <f>RTD("rtdtrading.rtdserver",, "T&amp;T0", "ACP", 320)</f>
        <v>-</v>
      </c>
      <c r="C323" s="1">
        <f>RTD("rtdtrading.rtdserver",, "T&amp;T0", "PRE", 320)</f>
        <v>0</v>
      </c>
      <c r="D323" s="1">
        <f>RTD("rtdtrading.rtdserver",, "T&amp;T0", "QUL", 320)</f>
        <v>0</v>
      </c>
      <c r="E323" s="1" t="str">
        <f>RTD("rtdtrading.rtdserver",, "T&amp;T0", "AVD", 320)</f>
        <v>-</v>
      </c>
      <c r="F323" s="1" t="str">
        <f>RTD("rtdtrading.rtdserver",, "T&amp;T0", "AGR", 320)</f>
        <v>-</v>
      </c>
      <c r="G323" s="1" t="str">
        <f>RTD("rtdtrading.rtdserver",, "T&amp;T0", "AGAG", 320)</f>
        <v>-</v>
      </c>
    </row>
    <row r="324" spans="1:7" x14ac:dyDescent="0.25">
      <c r="A324" s="1" t="str">
        <f>RTD("rtdtrading.rtdserver",, "T&amp;T0", "DAT", 321)</f>
        <v>-</v>
      </c>
      <c r="B324" s="1" t="str">
        <f>RTD("rtdtrading.rtdserver",, "T&amp;T0", "ACP", 321)</f>
        <v>-</v>
      </c>
      <c r="C324" s="1">
        <f>RTD("rtdtrading.rtdserver",, "T&amp;T0", "PRE", 321)</f>
        <v>0</v>
      </c>
      <c r="D324" s="1">
        <f>RTD("rtdtrading.rtdserver",, "T&amp;T0", "QUL", 321)</f>
        <v>0</v>
      </c>
      <c r="E324" s="1" t="str">
        <f>RTD("rtdtrading.rtdserver",, "T&amp;T0", "AVD", 321)</f>
        <v>-</v>
      </c>
      <c r="F324" s="1" t="str">
        <f>RTD("rtdtrading.rtdserver",, "T&amp;T0", "AGR", 321)</f>
        <v>-</v>
      </c>
      <c r="G324" s="1" t="str">
        <f>RTD("rtdtrading.rtdserver",, "T&amp;T0", "AGAG", 321)</f>
        <v>-</v>
      </c>
    </row>
    <row r="325" spans="1:7" x14ac:dyDescent="0.25">
      <c r="A325" s="1" t="str">
        <f>RTD("rtdtrading.rtdserver",, "T&amp;T0", "DAT", 322)</f>
        <v>-</v>
      </c>
      <c r="B325" s="1" t="str">
        <f>RTD("rtdtrading.rtdserver",, "T&amp;T0", "ACP", 322)</f>
        <v>-</v>
      </c>
      <c r="C325" s="1">
        <f>RTD("rtdtrading.rtdserver",, "T&amp;T0", "PRE", 322)</f>
        <v>0</v>
      </c>
      <c r="D325" s="1">
        <f>RTD("rtdtrading.rtdserver",, "T&amp;T0", "QUL", 322)</f>
        <v>0</v>
      </c>
      <c r="E325" s="1" t="str">
        <f>RTD("rtdtrading.rtdserver",, "T&amp;T0", "AVD", 322)</f>
        <v>-</v>
      </c>
      <c r="F325" s="1" t="str">
        <f>RTD("rtdtrading.rtdserver",, "T&amp;T0", "AGR", 322)</f>
        <v>-</v>
      </c>
      <c r="G325" s="1" t="str">
        <f>RTD("rtdtrading.rtdserver",, "T&amp;T0", "AGAG", 322)</f>
        <v>-</v>
      </c>
    </row>
    <row r="326" spans="1:7" x14ac:dyDescent="0.25">
      <c r="A326" s="1" t="str">
        <f>RTD("rtdtrading.rtdserver",, "T&amp;T0", "DAT", 323)</f>
        <v>-</v>
      </c>
      <c r="B326" s="1" t="str">
        <f>RTD("rtdtrading.rtdserver",, "T&amp;T0", "ACP", 323)</f>
        <v>-</v>
      </c>
      <c r="C326" s="1">
        <f>RTD("rtdtrading.rtdserver",, "T&amp;T0", "PRE", 323)</f>
        <v>0</v>
      </c>
      <c r="D326" s="1">
        <f>RTD("rtdtrading.rtdserver",, "T&amp;T0", "QUL", 323)</f>
        <v>0</v>
      </c>
      <c r="E326" s="1" t="str">
        <f>RTD("rtdtrading.rtdserver",, "T&amp;T0", "AVD", 323)</f>
        <v>-</v>
      </c>
      <c r="F326" s="1" t="str">
        <f>RTD("rtdtrading.rtdserver",, "T&amp;T0", "AGR", 323)</f>
        <v>-</v>
      </c>
      <c r="G326" s="1" t="str">
        <f>RTD("rtdtrading.rtdserver",, "T&amp;T0", "AGAG", 323)</f>
        <v>-</v>
      </c>
    </row>
    <row r="327" spans="1:7" x14ac:dyDescent="0.25">
      <c r="A327" s="1" t="str">
        <f>RTD("rtdtrading.rtdserver",, "T&amp;T0", "DAT", 324)</f>
        <v>-</v>
      </c>
      <c r="B327" s="1" t="str">
        <f>RTD("rtdtrading.rtdserver",, "T&amp;T0", "ACP", 324)</f>
        <v>-</v>
      </c>
      <c r="C327" s="1">
        <f>RTD("rtdtrading.rtdserver",, "T&amp;T0", "PRE", 324)</f>
        <v>0</v>
      </c>
      <c r="D327" s="1">
        <f>RTD("rtdtrading.rtdserver",, "T&amp;T0", "QUL", 324)</f>
        <v>0</v>
      </c>
      <c r="E327" s="1" t="str">
        <f>RTD("rtdtrading.rtdserver",, "T&amp;T0", "AVD", 324)</f>
        <v>-</v>
      </c>
      <c r="F327" s="1" t="str">
        <f>RTD("rtdtrading.rtdserver",, "T&amp;T0", "AGR", 324)</f>
        <v>-</v>
      </c>
      <c r="G327" s="1" t="str">
        <f>RTD("rtdtrading.rtdserver",, "T&amp;T0", "AGAG", 324)</f>
        <v>-</v>
      </c>
    </row>
    <row r="328" spans="1:7" x14ac:dyDescent="0.25">
      <c r="A328" s="1" t="str">
        <f>RTD("rtdtrading.rtdserver",, "T&amp;T0", "DAT", 325)</f>
        <v>-</v>
      </c>
      <c r="B328" s="1" t="str">
        <f>RTD("rtdtrading.rtdserver",, "T&amp;T0", "ACP", 325)</f>
        <v>-</v>
      </c>
      <c r="C328" s="1">
        <f>RTD("rtdtrading.rtdserver",, "T&amp;T0", "PRE", 325)</f>
        <v>0</v>
      </c>
      <c r="D328" s="1">
        <f>RTD("rtdtrading.rtdserver",, "T&amp;T0", "QUL", 325)</f>
        <v>0</v>
      </c>
      <c r="E328" s="1" t="str">
        <f>RTD("rtdtrading.rtdserver",, "T&amp;T0", "AVD", 325)</f>
        <v>-</v>
      </c>
      <c r="F328" s="1" t="str">
        <f>RTD("rtdtrading.rtdserver",, "T&amp;T0", "AGR", 325)</f>
        <v>-</v>
      </c>
      <c r="G328" s="1" t="str">
        <f>RTD("rtdtrading.rtdserver",, "T&amp;T0", "AGAG", 325)</f>
        <v>-</v>
      </c>
    </row>
    <row r="329" spans="1:7" x14ac:dyDescent="0.25">
      <c r="A329" s="1" t="str">
        <f>RTD("rtdtrading.rtdserver",, "T&amp;T0", "DAT", 326)</f>
        <v>-</v>
      </c>
      <c r="B329" s="1" t="str">
        <f>RTD("rtdtrading.rtdserver",, "T&amp;T0", "ACP", 326)</f>
        <v>-</v>
      </c>
      <c r="C329" s="1">
        <f>RTD("rtdtrading.rtdserver",, "T&amp;T0", "PRE", 326)</f>
        <v>0</v>
      </c>
      <c r="D329" s="1">
        <f>RTD("rtdtrading.rtdserver",, "T&amp;T0", "QUL", 326)</f>
        <v>0</v>
      </c>
      <c r="E329" s="1" t="str">
        <f>RTD("rtdtrading.rtdserver",, "T&amp;T0", "AVD", 326)</f>
        <v>-</v>
      </c>
      <c r="F329" s="1" t="str">
        <f>RTD("rtdtrading.rtdserver",, "T&amp;T0", "AGR", 326)</f>
        <v>-</v>
      </c>
      <c r="G329" s="1" t="str">
        <f>RTD("rtdtrading.rtdserver",, "T&amp;T0", "AGAG", 326)</f>
        <v>-</v>
      </c>
    </row>
    <row r="330" spans="1:7" x14ac:dyDescent="0.25">
      <c r="A330" s="1" t="str">
        <f>RTD("rtdtrading.rtdserver",, "T&amp;T0", "DAT", 327)</f>
        <v>-</v>
      </c>
      <c r="B330" s="1" t="str">
        <f>RTD("rtdtrading.rtdserver",, "T&amp;T0", "ACP", 327)</f>
        <v>-</v>
      </c>
      <c r="C330" s="1">
        <f>RTD("rtdtrading.rtdserver",, "T&amp;T0", "PRE", 327)</f>
        <v>0</v>
      </c>
      <c r="D330" s="1">
        <f>RTD("rtdtrading.rtdserver",, "T&amp;T0", "QUL", 327)</f>
        <v>0</v>
      </c>
      <c r="E330" s="1" t="str">
        <f>RTD("rtdtrading.rtdserver",, "T&amp;T0", "AVD", 327)</f>
        <v>-</v>
      </c>
      <c r="F330" s="1" t="str">
        <f>RTD("rtdtrading.rtdserver",, "T&amp;T0", "AGR", 327)</f>
        <v>-</v>
      </c>
      <c r="G330" s="1" t="str">
        <f>RTD("rtdtrading.rtdserver",, "T&amp;T0", "AGAG", 327)</f>
        <v>-</v>
      </c>
    </row>
    <row r="331" spans="1:7" x14ac:dyDescent="0.25">
      <c r="A331" s="1" t="str">
        <f>RTD("rtdtrading.rtdserver",, "T&amp;T0", "DAT", 328)</f>
        <v>-</v>
      </c>
      <c r="B331" s="1" t="str">
        <f>RTD("rtdtrading.rtdserver",, "T&amp;T0", "ACP", 328)</f>
        <v>-</v>
      </c>
      <c r="C331" s="1">
        <f>RTD("rtdtrading.rtdserver",, "T&amp;T0", "PRE", 328)</f>
        <v>0</v>
      </c>
      <c r="D331" s="1">
        <f>RTD("rtdtrading.rtdserver",, "T&amp;T0", "QUL", 328)</f>
        <v>0</v>
      </c>
      <c r="E331" s="1" t="str">
        <f>RTD("rtdtrading.rtdserver",, "T&amp;T0", "AVD", 328)</f>
        <v>-</v>
      </c>
      <c r="F331" s="1" t="str">
        <f>RTD("rtdtrading.rtdserver",, "T&amp;T0", "AGR", 328)</f>
        <v>-</v>
      </c>
      <c r="G331" s="1" t="str">
        <f>RTD("rtdtrading.rtdserver",, "T&amp;T0", "AGAG", 328)</f>
        <v>-</v>
      </c>
    </row>
    <row r="332" spans="1:7" x14ac:dyDescent="0.25">
      <c r="A332" s="1" t="str">
        <f>RTD("rtdtrading.rtdserver",, "T&amp;T0", "DAT", 329)</f>
        <v>-</v>
      </c>
      <c r="B332" s="1" t="str">
        <f>RTD("rtdtrading.rtdserver",, "T&amp;T0", "ACP", 329)</f>
        <v>-</v>
      </c>
      <c r="C332" s="1">
        <f>RTD("rtdtrading.rtdserver",, "T&amp;T0", "PRE", 329)</f>
        <v>0</v>
      </c>
      <c r="D332" s="1">
        <f>RTD("rtdtrading.rtdserver",, "T&amp;T0", "QUL", 329)</f>
        <v>0</v>
      </c>
      <c r="E332" s="1" t="str">
        <f>RTD("rtdtrading.rtdserver",, "T&amp;T0", "AVD", 329)</f>
        <v>-</v>
      </c>
      <c r="F332" s="1" t="str">
        <f>RTD("rtdtrading.rtdserver",, "T&amp;T0", "AGR", 329)</f>
        <v>-</v>
      </c>
      <c r="G332" s="1" t="str">
        <f>RTD("rtdtrading.rtdserver",, "T&amp;T0", "AGAG", 329)</f>
        <v>-</v>
      </c>
    </row>
    <row r="333" spans="1:7" x14ac:dyDescent="0.25">
      <c r="A333" s="1" t="str">
        <f>RTD("rtdtrading.rtdserver",, "T&amp;T0", "DAT", 330)</f>
        <v>-</v>
      </c>
      <c r="B333" s="1" t="str">
        <f>RTD("rtdtrading.rtdserver",, "T&amp;T0", "ACP", 330)</f>
        <v>-</v>
      </c>
      <c r="C333" s="1">
        <f>RTD("rtdtrading.rtdserver",, "T&amp;T0", "PRE", 330)</f>
        <v>0</v>
      </c>
      <c r="D333" s="1">
        <f>RTD("rtdtrading.rtdserver",, "T&amp;T0", "QUL", 330)</f>
        <v>0</v>
      </c>
      <c r="E333" s="1" t="str">
        <f>RTD("rtdtrading.rtdserver",, "T&amp;T0", "AVD", 330)</f>
        <v>-</v>
      </c>
      <c r="F333" s="1" t="str">
        <f>RTD("rtdtrading.rtdserver",, "T&amp;T0", "AGR", 330)</f>
        <v>-</v>
      </c>
      <c r="G333" s="1" t="str">
        <f>RTD("rtdtrading.rtdserver",, "T&amp;T0", "AGAG", 330)</f>
        <v>-</v>
      </c>
    </row>
    <row r="334" spans="1:7" x14ac:dyDescent="0.25">
      <c r="A334" s="1" t="str">
        <f>RTD("rtdtrading.rtdserver",, "T&amp;T0", "DAT", 331)</f>
        <v>-</v>
      </c>
      <c r="B334" s="1" t="str">
        <f>RTD("rtdtrading.rtdserver",, "T&amp;T0", "ACP", 331)</f>
        <v>-</v>
      </c>
      <c r="C334" s="1">
        <f>RTD("rtdtrading.rtdserver",, "T&amp;T0", "PRE", 331)</f>
        <v>0</v>
      </c>
      <c r="D334" s="1">
        <f>RTD("rtdtrading.rtdserver",, "T&amp;T0", "QUL", 331)</f>
        <v>0</v>
      </c>
      <c r="E334" s="1" t="str">
        <f>RTD("rtdtrading.rtdserver",, "T&amp;T0", "AVD", 331)</f>
        <v>-</v>
      </c>
      <c r="F334" s="1" t="str">
        <f>RTD("rtdtrading.rtdserver",, "T&amp;T0", "AGR", 331)</f>
        <v>-</v>
      </c>
      <c r="G334" s="1" t="str">
        <f>RTD("rtdtrading.rtdserver",, "T&amp;T0", "AGAG", 331)</f>
        <v>-</v>
      </c>
    </row>
    <row r="335" spans="1:7" x14ac:dyDescent="0.25">
      <c r="A335" s="1" t="str">
        <f>RTD("rtdtrading.rtdserver",, "T&amp;T0", "DAT", 332)</f>
        <v>-</v>
      </c>
      <c r="B335" s="1" t="str">
        <f>RTD("rtdtrading.rtdserver",, "T&amp;T0", "ACP", 332)</f>
        <v>-</v>
      </c>
      <c r="C335" s="1">
        <f>RTD("rtdtrading.rtdserver",, "T&amp;T0", "PRE", 332)</f>
        <v>0</v>
      </c>
      <c r="D335" s="1">
        <f>RTD("rtdtrading.rtdserver",, "T&amp;T0", "QUL", 332)</f>
        <v>0</v>
      </c>
      <c r="E335" s="1" t="str">
        <f>RTD("rtdtrading.rtdserver",, "T&amp;T0", "AVD", 332)</f>
        <v>-</v>
      </c>
      <c r="F335" s="1" t="str">
        <f>RTD("rtdtrading.rtdserver",, "T&amp;T0", "AGR", 332)</f>
        <v>-</v>
      </c>
      <c r="G335" s="1" t="str">
        <f>RTD("rtdtrading.rtdserver",, "T&amp;T0", "AGAG", 332)</f>
        <v>-</v>
      </c>
    </row>
    <row r="336" spans="1:7" x14ac:dyDescent="0.25">
      <c r="A336" s="1" t="str">
        <f>RTD("rtdtrading.rtdserver",, "T&amp;T0", "DAT", 333)</f>
        <v>-</v>
      </c>
      <c r="B336" s="1" t="str">
        <f>RTD("rtdtrading.rtdserver",, "T&amp;T0", "ACP", 333)</f>
        <v>-</v>
      </c>
      <c r="C336" s="1">
        <f>RTD("rtdtrading.rtdserver",, "T&amp;T0", "PRE", 333)</f>
        <v>0</v>
      </c>
      <c r="D336" s="1">
        <f>RTD("rtdtrading.rtdserver",, "T&amp;T0", "QUL", 333)</f>
        <v>0</v>
      </c>
      <c r="E336" s="1" t="str">
        <f>RTD("rtdtrading.rtdserver",, "T&amp;T0", "AVD", 333)</f>
        <v>-</v>
      </c>
      <c r="F336" s="1" t="str">
        <f>RTD("rtdtrading.rtdserver",, "T&amp;T0", "AGR", 333)</f>
        <v>-</v>
      </c>
      <c r="G336" s="1" t="str">
        <f>RTD("rtdtrading.rtdserver",, "T&amp;T0", "AGAG", 333)</f>
        <v>-</v>
      </c>
    </row>
    <row r="337" spans="1:7" x14ac:dyDescent="0.25">
      <c r="A337" s="1" t="str">
        <f>RTD("rtdtrading.rtdserver",, "T&amp;T0", "DAT", 334)</f>
        <v>-</v>
      </c>
      <c r="B337" s="1" t="str">
        <f>RTD("rtdtrading.rtdserver",, "T&amp;T0", "ACP", 334)</f>
        <v>-</v>
      </c>
      <c r="C337" s="1">
        <f>RTD("rtdtrading.rtdserver",, "T&amp;T0", "PRE", 334)</f>
        <v>0</v>
      </c>
      <c r="D337" s="1">
        <f>RTD("rtdtrading.rtdserver",, "T&amp;T0", "QUL", 334)</f>
        <v>0</v>
      </c>
      <c r="E337" s="1" t="str">
        <f>RTD("rtdtrading.rtdserver",, "T&amp;T0", "AVD", 334)</f>
        <v>-</v>
      </c>
      <c r="F337" s="1" t="str">
        <f>RTD("rtdtrading.rtdserver",, "T&amp;T0", "AGR", 334)</f>
        <v>-</v>
      </c>
      <c r="G337" s="1" t="str">
        <f>RTD("rtdtrading.rtdserver",, "T&amp;T0", "AGAG", 334)</f>
        <v>-</v>
      </c>
    </row>
    <row r="338" spans="1:7" x14ac:dyDescent="0.25">
      <c r="A338" s="1" t="str">
        <f>RTD("rtdtrading.rtdserver",, "T&amp;T0", "DAT", 335)</f>
        <v>-</v>
      </c>
      <c r="B338" s="1" t="str">
        <f>RTD("rtdtrading.rtdserver",, "T&amp;T0", "ACP", 335)</f>
        <v>-</v>
      </c>
      <c r="C338" s="1">
        <f>RTD("rtdtrading.rtdserver",, "T&amp;T0", "PRE", 335)</f>
        <v>0</v>
      </c>
      <c r="D338" s="1">
        <f>RTD("rtdtrading.rtdserver",, "T&amp;T0", "QUL", 335)</f>
        <v>0</v>
      </c>
      <c r="E338" s="1" t="str">
        <f>RTD("rtdtrading.rtdserver",, "T&amp;T0", "AVD", 335)</f>
        <v>-</v>
      </c>
      <c r="F338" s="1" t="str">
        <f>RTD("rtdtrading.rtdserver",, "T&amp;T0", "AGR", 335)</f>
        <v>-</v>
      </c>
      <c r="G338" s="1" t="str">
        <f>RTD("rtdtrading.rtdserver",, "T&amp;T0", "AGAG", 335)</f>
        <v>-</v>
      </c>
    </row>
    <row r="339" spans="1:7" x14ac:dyDescent="0.25">
      <c r="A339" s="1" t="str">
        <f>RTD("rtdtrading.rtdserver",, "T&amp;T0", "DAT", 336)</f>
        <v>-</v>
      </c>
      <c r="B339" s="1" t="str">
        <f>RTD("rtdtrading.rtdserver",, "T&amp;T0", "ACP", 336)</f>
        <v>-</v>
      </c>
      <c r="C339" s="1">
        <f>RTD("rtdtrading.rtdserver",, "T&amp;T0", "PRE", 336)</f>
        <v>0</v>
      </c>
      <c r="D339" s="1">
        <f>RTD("rtdtrading.rtdserver",, "T&amp;T0", "QUL", 336)</f>
        <v>0</v>
      </c>
      <c r="E339" s="1" t="str">
        <f>RTD("rtdtrading.rtdserver",, "T&amp;T0", "AVD", 336)</f>
        <v>-</v>
      </c>
      <c r="F339" s="1" t="str">
        <f>RTD("rtdtrading.rtdserver",, "T&amp;T0", "AGR", 336)</f>
        <v>-</v>
      </c>
      <c r="G339" s="1" t="str">
        <f>RTD("rtdtrading.rtdserver",, "T&amp;T0", "AGAG", 336)</f>
        <v>-</v>
      </c>
    </row>
    <row r="340" spans="1:7" x14ac:dyDescent="0.25">
      <c r="A340" s="1" t="str">
        <f>RTD("rtdtrading.rtdserver",, "T&amp;T0", "DAT", 337)</f>
        <v>-</v>
      </c>
      <c r="B340" s="1" t="str">
        <f>RTD("rtdtrading.rtdserver",, "T&amp;T0", "ACP", 337)</f>
        <v>-</v>
      </c>
      <c r="C340" s="1">
        <f>RTD("rtdtrading.rtdserver",, "T&amp;T0", "PRE", 337)</f>
        <v>0</v>
      </c>
      <c r="D340" s="1">
        <f>RTD("rtdtrading.rtdserver",, "T&amp;T0", "QUL", 337)</f>
        <v>0</v>
      </c>
      <c r="E340" s="1" t="str">
        <f>RTD("rtdtrading.rtdserver",, "T&amp;T0", "AVD", 337)</f>
        <v>-</v>
      </c>
      <c r="F340" s="1" t="str">
        <f>RTD("rtdtrading.rtdserver",, "T&amp;T0", "AGR", 337)</f>
        <v>-</v>
      </c>
      <c r="G340" s="1" t="str">
        <f>RTD("rtdtrading.rtdserver",, "T&amp;T0", "AGAG", 337)</f>
        <v>-</v>
      </c>
    </row>
    <row r="341" spans="1:7" x14ac:dyDescent="0.25">
      <c r="A341" s="1" t="str">
        <f>RTD("rtdtrading.rtdserver",, "T&amp;T0", "DAT", 338)</f>
        <v>-</v>
      </c>
      <c r="B341" s="1" t="str">
        <f>RTD("rtdtrading.rtdserver",, "T&amp;T0", "ACP", 338)</f>
        <v>-</v>
      </c>
      <c r="C341" s="1">
        <f>RTD("rtdtrading.rtdserver",, "T&amp;T0", "PRE", 338)</f>
        <v>0</v>
      </c>
      <c r="D341" s="1">
        <f>RTD("rtdtrading.rtdserver",, "T&amp;T0", "QUL", 338)</f>
        <v>0</v>
      </c>
      <c r="E341" s="1" t="str">
        <f>RTD("rtdtrading.rtdserver",, "T&amp;T0", "AVD", 338)</f>
        <v>-</v>
      </c>
      <c r="F341" s="1" t="str">
        <f>RTD("rtdtrading.rtdserver",, "T&amp;T0", "AGR", 338)</f>
        <v>-</v>
      </c>
      <c r="G341" s="1" t="str">
        <f>RTD("rtdtrading.rtdserver",, "T&amp;T0", "AGAG", 338)</f>
        <v>-</v>
      </c>
    </row>
    <row r="342" spans="1:7" x14ac:dyDescent="0.25">
      <c r="A342" s="1" t="str">
        <f>RTD("rtdtrading.rtdserver",, "T&amp;T0", "DAT", 339)</f>
        <v>-</v>
      </c>
      <c r="B342" s="1" t="str">
        <f>RTD("rtdtrading.rtdserver",, "T&amp;T0", "ACP", 339)</f>
        <v>-</v>
      </c>
      <c r="C342" s="1">
        <f>RTD("rtdtrading.rtdserver",, "T&amp;T0", "PRE", 339)</f>
        <v>0</v>
      </c>
      <c r="D342" s="1">
        <f>RTD("rtdtrading.rtdserver",, "T&amp;T0", "QUL", 339)</f>
        <v>0</v>
      </c>
      <c r="E342" s="1" t="str">
        <f>RTD("rtdtrading.rtdserver",, "T&amp;T0", "AVD", 339)</f>
        <v>-</v>
      </c>
      <c r="F342" s="1" t="str">
        <f>RTD("rtdtrading.rtdserver",, "T&amp;T0", "AGR", 339)</f>
        <v>-</v>
      </c>
      <c r="G342" s="1" t="str">
        <f>RTD("rtdtrading.rtdserver",, "T&amp;T0", "AGAG", 339)</f>
        <v>-</v>
      </c>
    </row>
    <row r="343" spans="1:7" x14ac:dyDescent="0.25">
      <c r="A343" s="1" t="str">
        <f>RTD("rtdtrading.rtdserver",, "T&amp;T0", "DAT", 340)</f>
        <v>-</v>
      </c>
      <c r="B343" s="1" t="str">
        <f>RTD("rtdtrading.rtdserver",, "T&amp;T0", "ACP", 340)</f>
        <v>-</v>
      </c>
      <c r="C343" s="1">
        <f>RTD("rtdtrading.rtdserver",, "T&amp;T0", "PRE", 340)</f>
        <v>0</v>
      </c>
      <c r="D343" s="1">
        <f>RTD("rtdtrading.rtdserver",, "T&amp;T0", "QUL", 340)</f>
        <v>0</v>
      </c>
      <c r="E343" s="1" t="str">
        <f>RTD("rtdtrading.rtdserver",, "T&amp;T0", "AVD", 340)</f>
        <v>-</v>
      </c>
      <c r="F343" s="1" t="str">
        <f>RTD("rtdtrading.rtdserver",, "T&amp;T0", "AGR", 340)</f>
        <v>-</v>
      </c>
      <c r="G343" s="1" t="str">
        <f>RTD("rtdtrading.rtdserver",, "T&amp;T0", "AGAG", 340)</f>
        <v>-</v>
      </c>
    </row>
    <row r="344" spans="1:7" x14ac:dyDescent="0.25">
      <c r="A344" s="1" t="str">
        <f>RTD("rtdtrading.rtdserver",, "T&amp;T0", "DAT", 341)</f>
        <v>-</v>
      </c>
      <c r="B344" s="1" t="str">
        <f>RTD("rtdtrading.rtdserver",, "T&amp;T0", "ACP", 341)</f>
        <v>-</v>
      </c>
      <c r="C344" s="1">
        <f>RTD("rtdtrading.rtdserver",, "T&amp;T0", "PRE", 341)</f>
        <v>0</v>
      </c>
      <c r="D344" s="1">
        <f>RTD("rtdtrading.rtdserver",, "T&amp;T0", "QUL", 341)</f>
        <v>0</v>
      </c>
      <c r="E344" s="1" t="str">
        <f>RTD("rtdtrading.rtdserver",, "T&amp;T0", "AVD", 341)</f>
        <v>-</v>
      </c>
      <c r="F344" s="1" t="str">
        <f>RTD("rtdtrading.rtdserver",, "T&amp;T0", "AGR", 341)</f>
        <v>-</v>
      </c>
      <c r="G344" s="1" t="str">
        <f>RTD("rtdtrading.rtdserver",, "T&amp;T0", "AGAG", 341)</f>
        <v>-</v>
      </c>
    </row>
    <row r="345" spans="1:7" x14ac:dyDescent="0.25">
      <c r="A345" s="1" t="str">
        <f>RTD("rtdtrading.rtdserver",, "T&amp;T0", "DAT", 342)</f>
        <v>-</v>
      </c>
      <c r="B345" s="1" t="str">
        <f>RTD("rtdtrading.rtdserver",, "T&amp;T0", "ACP", 342)</f>
        <v>-</v>
      </c>
      <c r="C345" s="1">
        <f>RTD("rtdtrading.rtdserver",, "T&amp;T0", "PRE", 342)</f>
        <v>0</v>
      </c>
      <c r="D345" s="1">
        <f>RTD("rtdtrading.rtdserver",, "T&amp;T0", "QUL", 342)</f>
        <v>0</v>
      </c>
      <c r="E345" s="1" t="str">
        <f>RTD("rtdtrading.rtdserver",, "T&amp;T0", "AVD", 342)</f>
        <v>-</v>
      </c>
      <c r="F345" s="1" t="str">
        <f>RTD("rtdtrading.rtdserver",, "T&amp;T0", "AGR", 342)</f>
        <v>-</v>
      </c>
      <c r="G345" s="1" t="str">
        <f>RTD("rtdtrading.rtdserver",, "T&amp;T0", "AGAG", 342)</f>
        <v>-</v>
      </c>
    </row>
    <row r="346" spans="1:7" x14ac:dyDescent="0.25">
      <c r="A346" s="1" t="str">
        <f>RTD("rtdtrading.rtdserver",, "T&amp;T0", "DAT", 343)</f>
        <v>-</v>
      </c>
      <c r="B346" s="1" t="str">
        <f>RTD("rtdtrading.rtdserver",, "T&amp;T0", "ACP", 343)</f>
        <v>-</v>
      </c>
      <c r="C346" s="1">
        <f>RTD("rtdtrading.rtdserver",, "T&amp;T0", "PRE", 343)</f>
        <v>0</v>
      </c>
      <c r="D346" s="1">
        <f>RTD("rtdtrading.rtdserver",, "T&amp;T0", "QUL", 343)</f>
        <v>0</v>
      </c>
      <c r="E346" s="1" t="str">
        <f>RTD("rtdtrading.rtdserver",, "T&amp;T0", "AVD", 343)</f>
        <v>-</v>
      </c>
      <c r="F346" s="1" t="str">
        <f>RTD("rtdtrading.rtdserver",, "T&amp;T0", "AGR", 343)</f>
        <v>-</v>
      </c>
      <c r="G346" s="1" t="str">
        <f>RTD("rtdtrading.rtdserver",, "T&amp;T0", "AGAG", 343)</f>
        <v>-</v>
      </c>
    </row>
    <row r="347" spans="1:7" x14ac:dyDescent="0.25">
      <c r="A347" s="1" t="str">
        <f>RTD("rtdtrading.rtdserver",, "T&amp;T0", "DAT", 344)</f>
        <v>-</v>
      </c>
      <c r="B347" s="1" t="str">
        <f>RTD("rtdtrading.rtdserver",, "T&amp;T0", "ACP", 344)</f>
        <v>-</v>
      </c>
      <c r="C347" s="1">
        <f>RTD("rtdtrading.rtdserver",, "T&amp;T0", "PRE", 344)</f>
        <v>0</v>
      </c>
      <c r="D347" s="1">
        <f>RTD("rtdtrading.rtdserver",, "T&amp;T0", "QUL", 344)</f>
        <v>0</v>
      </c>
      <c r="E347" s="1" t="str">
        <f>RTD("rtdtrading.rtdserver",, "T&amp;T0", "AVD", 344)</f>
        <v>-</v>
      </c>
      <c r="F347" s="1" t="str">
        <f>RTD("rtdtrading.rtdserver",, "T&amp;T0", "AGR", 344)</f>
        <v>-</v>
      </c>
      <c r="G347" s="1" t="str">
        <f>RTD("rtdtrading.rtdserver",, "T&amp;T0", "AGAG", 344)</f>
        <v>-</v>
      </c>
    </row>
    <row r="348" spans="1:7" x14ac:dyDescent="0.25">
      <c r="A348" s="1" t="str">
        <f>RTD("rtdtrading.rtdserver",, "T&amp;T0", "DAT", 345)</f>
        <v>-</v>
      </c>
      <c r="B348" s="1" t="str">
        <f>RTD("rtdtrading.rtdserver",, "T&amp;T0", "ACP", 345)</f>
        <v>-</v>
      </c>
      <c r="C348" s="1">
        <f>RTD("rtdtrading.rtdserver",, "T&amp;T0", "PRE", 345)</f>
        <v>0</v>
      </c>
      <c r="D348" s="1">
        <f>RTD("rtdtrading.rtdserver",, "T&amp;T0", "QUL", 345)</f>
        <v>0</v>
      </c>
      <c r="E348" s="1" t="str">
        <f>RTD("rtdtrading.rtdserver",, "T&amp;T0", "AVD", 345)</f>
        <v>-</v>
      </c>
      <c r="F348" s="1" t="str">
        <f>RTD("rtdtrading.rtdserver",, "T&amp;T0", "AGR", 345)</f>
        <v>-</v>
      </c>
      <c r="G348" s="1" t="str">
        <f>RTD("rtdtrading.rtdserver",, "T&amp;T0", "AGAG", 345)</f>
        <v>-</v>
      </c>
    </row>
    <row r="349" spans="1:7" x14ac:dyDescent="0.25">
      <c r="A349" s="1" t="str">
        <f>RTD("rtdtrading.rtdserver",, "T&amp;T0", "DAT", 346)</f>
        <v>-</v>
      </c>
      <c r="B349" s="1" t="str">
        <f>RTD("rtdtrading.rtdserver",, "T&amp;T0", "ACP", 346)</f>
        <v>-</v>
      </c>
      <c r="C349" s="1">
        <f>RTD("rtdtrading.rtdserver",, "T&amp;T0", "PRE", 346)</f>
        <v>0</v>
      </c>
      <c r="D349" s="1">
        <f>RTD("rtdtrading.rtdserver",, "T&amp;T0", "QUL", 346)</f>
        <v>0</v>
      </c>
      <c r="E349" s="1" t="str">
        <f>RTD("rtdtrading.rtdserver",, "T&amp;T0", "AVD", 346)</f>
        <v>-</v>
      </c>
      <c r="F349" s="1" t="str">
        <f>RTD("rtdtrading.rtdserver",, "T&amp;T0", "AGR", 346)</f>
        <v>-</v>
      </c>
      <c r="G349" s="1" t="str">
        <f>RTD("rtdtrading.rtdserver",, "T&amp;T0", "AGAG", 346)</f>
        <v>-</v>
      </c>
    </row>
    <row r="350" spans="1:7" x14ac:dyDescent="0.25">
      <c r="A350" s="1" t="str">
        <f>RTD("rtdtrading.rtdserver",, "T&amp;T0", "DAT", 347)</f>
        <v>-</v>
      </c>
      <c r="B350" s="1" t="str">
        <f>RTD("rtdtrading.rtdserver",, "T&amp;T0", "ACP", 347)</f>
        <v>-</v>
      </c>
      <c r="C350" s="1">
        <f>RTD("rtdtrading.rtdserver",, "T&amp;T0", "PRE", 347)</f>
        <v>0</v>
      </c>
      <c r="D350" s="1">
        <f>RTD("rtdtrading.rtdserver",, "T&amp;T0", "QUL", 347)</f>
        <v>0</v>
      </c>
      <c r="E350" s="1" t="str">
        <f>RTD("rtdtrading.rtdserver",, "T&amp;T0", "AVD", 347)</f>
        <v>-</v>
      </c>
      <c r="F350" s="1" t="str">
        <f>RTD("rtdtrading.rtdserver",, "T&amp;T0", "AGR", 347)</f>
        <v>-</v>
      </c>
      <c r="G350" s="1" t="str">
        <f>RTD("rtdtrading.rtdserver",, "T&amp;T0", "AGAG", 347)</f>
        <v>-</v>
      </c>
    </row>
    <row r="351" spans="1:7" x14ac:dyDescent="0.25">
      <c r="A351" s="1" t="str">
        <f>RTD("rtdtrading.rtdserver",, "T&amp;T0", "DAT", 348)</f>
        <v>-</v>
      </c>
      <c r="B351" s="1" t="str">
        <f>RTD("rtdtrading.rtdserver",, "T&amp;T0", "ACP", 348)</f>
        <v>-</v>
      </c>
      <c r="C351" s="1">
        <f>RTD("rtdtrading.rtdserver",, "T&amp;T0", "PRE", 348)</f>
        <v>0</v>
      </c>
      <c r="D351" s="1">
        <f>RTD("rtdtrading.rtdserver",, "T&amp;T0", "QUL", 348)</f>
        <v>0</v>
      </c>
      <c r="E351" s="1" t="str">
        <f>RTD("rtdtrading.rtdserver",, "T&amp;T0", "AVD", 348)</f>
        <v>-</v>
      </c>
      <c r="F351" s="1" t="str">
        <f>RTD("rtdtrading.rtdserver",, "T&amp;T0", "AGR", 348)</f>
        <v>-</v>
      </c>
      <c r="G351" s="1" t="str">
        <f>RTD("rtdtrading.rtdserver",, "T&amp;T0", "AGAG", 348)</f>
        <v>-</v>
      </c>
    </row>
    <row r="352" spans="1:7" x14ac:dyDescent="0.25">
      <c r="A352" s="1" t="str">
        <f>RTD("rtdtrading.rtdserver",, "T&amp;T0", "DAT", 349)</f>
        <v>-</v>
      </c>
      <c r="B352" s="1" t="str">
        <f>RTD("rtdtrading.rtdserver",, "T&amp;T0", "ACP", 349)</f>
        <v>-</v>
      </c>
      <c r="C352" s="1">
        <f>RTD("rtdtrading.rtdserver",, "T&amp;T0", "PRE", 349)</f>
        <v>0</v>
      </c>
      <c r="D352" s="1">
        <f>RTD("rtdtrading.rtdserver",, "T&amp;T0", "QUL", 349)</f>
        <v>0</v>
      </c>
      <c r="E352" s="1" t="str">
        <f>RTD("rtdtrading.rtdserver",, "T&amp;T0", "AVD", 349)</f>
        <v>-</v>
      </c>
      <c r="F352" s="1" t="str">
        <f>RTD("rtdtrading.rtdserver",, "T&amp;T0", "AGR", 349)</f>
        <v>-</v>
      </c>
      <c r="G352" s="1" t="str">
        <f>RTD("rtdtrading.rtdserver",, "T&amp;T0", "AGAG", 349)</f>
        <v>-</v>
      </c>
    </row>
    <row r="353" spans="1:7" x14ac:dyDescent="0.25">
      <c r="A353" s="1" t="str">
        <f>RTD("rtdtrading.rtdserver",, "T&amp;T0", "DAT", 350)</f>
        <v>-</v>
      </c>
      <c r="B353" s="1" t="str">
        <f>RTD("rtdtrading.rtdserver",, "T&amp;T0", "ACP", 350)</f>
        <v>-</v>
      </c>
      <c r="C353" s="1">
        <f>RTD("rtdtrading.rtdserver",, "T&amp;T0", "PRE", 350)</f>
        <v>0</v>
      </c>
      <c r="D353" s="1">
        <f>RTD("rtdtrading.rtdserver",, "T&amp;T0", "QUL", 350)</f>
        <v>0</v>
      </c>
      <c r="E353" s="1" t="str">
        <f>RTD("rtdtrading.rtdserver",, "T&amp;T0", "AVD", 350)</f>
        <v>-</v>
      </c>
      <c r="F353" s="1" t="str">
        <f>RTD("rtdtrading.rtdserver",, "T&amp;T0", "AGR", 350)</f>
        <v>-</v>
      </c>
      <c r="G353" s="1" t="str">
        <f>RTD("rtdtrading.rtdserver",, "T&amp;T0", "AGAG", 350)</f>
        <v>-</v>
      </c>
    </row>
    <row r="354" spans="1:7" x14ac:dyDescent="0.25">
      <c r="A354" s="1" t="str">
        <f>RTD("rtdtrading.rtdserver",, "T&amp;T0", "DAT", 351)</f>
        <v>-</v>
      </c>
      <c r="B354" s="1" t="str">
        <f>RTD("rtdtrading.rtdserver",, "T&amp;T0", "ACP", 351)</f>
        <v>-</v>
      </c>
      <c r="C354" s="1">
        <f>RTD("rtdtrading.rtdserver",, "T&amp;T0", "PRE", 351)</f>
        <v>0</v>
      </c>
      <c r="D354" s="1">
        <f>RTD("rtdtrading.rtdserver",, "T&amp;T0", "QUL", 351)</f>
        <v>0</v>
      </c>
      <c r="E354" s="1" t="str">
        <f>RTD("rtdtrading.rtdserver",, "T&amp;T0", "AVD", 351)</f>
        <v>-</v>
      </c>
      <c r="F354" s="1" t="str">
        <f>RTD("rtdtrading.rtdserver",, "T&amp;T0", "AGR", 351)</f>
        <v>-</v>
      </c>
      <c r="G354" s="1" t="str">
        <f>RTD("rtdtrading.rtdserver",, "T&amp;T0", "AGAG", 351)</f>
        <v>-</v>
      </c>
    </row>
    <row r="355" spans="1:7" x14ac:dyDescent="0.25">
      <c r="A355" s="1" t="str">
        <f>RTD("rtdtrading.rtdserver",, "T&amp;T0", "DAT", 352)</f>
        <v>-</v>
      </c>
      <c r="B355" s="1" t="str">
        <f>RTD("rtdtrading.rtdserver",, "T&amp;T0", "ACP", 352)</f>
        <v>-</v>
      </c>
      <c r="C355" s="1">
        <f>RTD("rtdtrading.rtdserver",, "T&amp;T0", "PRE", 352)</f>
        <v>0</v>
      </c>
      <c r="D355" s="1">
        <f>RTD("rtdtrading.rtdserver",, "T&amp;T0", "QUL", 352)</f>
        <v>0</v>
      </c>
      <c r="E355" s="1" t="str">
        <f>RTD("rtdtrading.rtdserver",, "T&amp;T0", "AVD", 352)</f>
        <v>-</v>
      </c>
      <c r="F355" s="1" t="str">
        <f>RTD("rtdtrading.rtdserver",, "T&amp;T0", "AGR", 352)</f>
        <v>-</v>
      </c>
      <c r="G355" s="1" t="str">
        <f>RTD("rtdtrading.rtdserver",, "T&amp;T0", "AGAG", 352)</f>
        <v>-</v>
      </c>
    </row>
    <row r="356" spans="1:7" x14ac:dyDescent="0.25">
      <c r="A356" s="1" t="str">
        <f>RTD("rtdtrading.rtdserver",, "T&amp;T0", "DAT", 353)</f>
        <v>-</v>
      </c>
      <c r="B356" s="1" t="str">
        <f>RTD("rtdtrading.rtdserver",, "T&amp;T0", "ACP", 353)</f>
        <v>-</v>
      </c>
      <c r="C356" s="1">
        <f>RTD("rtdtrading.rtdserver",, "T&amp;T0", "PRE", 353)</f>
        <v>0</v>
      </c>
      <c r="D356" s="1">
        <f>RTD("rtdtrading.rtdserver",, "T&amp;T0", "QUL", 353)</f>
        <v>0</v>
      </c>
      <c r="E356" s="1" t="str">
        <f>RTD("rtdtrading.rtdserver",, "T&amp;T0", "AVD", 353)</f>
        <v>-</v>
      </c>
      <c r="F356" s="1" t="str">
        <f>RTD("rtdtrading.rtdserver",, "T&amp;T0", "AGR", 353)</f>
        <v>-</v>
      </c>
      <c r="G356" s="1" t="str">
        <f>RTD("rtdtrading.rtdserver",, "T&amp;T0", "AGAG", 353)</f>
        <v>-</v>
      </c>
    </row>
    <row r="357" spans="1:7" x14ac:dyDescent="0.25">
      <c r="A357" s="1" t="str">
        <f>RTD("rtdtrading.rtdserver",, "T&amp;T0", "DAT", 354)</f>
        <v>-</v>
      </c>
      <c r="B357" s="1" t="str">
        <f>RTD("rtdtrading.rtdserver",, "T&amp;T0", "ACP", 354)</f>
        <v>-</v>
      </c>
      <c r="C357" s="1">
        <f>RTD("rtdtrading.rtdserver",, "T&amp;T0", "PRE", 354)</f>
        <v>0</v>
      </c>
      <c r="D357" s="1">
        <f>RTD("rtdtrading.rtdserver",, "T&amp;T0", "QUL", 354)</f>
        <v>0</v>
      </c>
      <c r="E357" s="1" t="str">
        <f>RTD("rtdtrading.rtdserver",, "T&amp;T0", "AVD", 354)</f>
        <v>-</v>
      </c>
      <c r="F357" s="1" t="str">
        <f>RTD("rtdtrading.rtdserver",, "T&amp;T0", "AGR", 354)</f>
        <v>-</v>
      </c>
      <c r="G357" s="1" t="str">
        <f>RTD("rtdtrading.rtdserver",, "T&amp;T0", "AGAG", 354)</f>
        <v>-</v>
      </c>
    </row>
    <row r="358" spans="1:7" x14ac:dyDescent="0.25">
      <c r="A358" s="1" t="str">
        <f>RTD("rtdtrading.rtdserver",, "T&amp;T0", "DAT", 355)</f>
        <v>-</v>
      </c>
      <c r="B358" s="1" t="str">
        <f>RTD("rtdtrading.rtdserver",, "T&amp;T0", "ACP", 355)</f>
        <v>-</v>
      </c>
      <c r="C358" s="1">
        <f>RTD("rtdtrading.rtdserver",, "T&amp;T0", "PRE", 355)</f>
        <v>0</v>
      </c>
      <c r="D358" s="1">
        <f>RTD("rtdtrading.rtdserver",, "T&amp;T0", "QUL", 355)</f>
        <v>0</v>
      </c>
      <c r="E358" s="1" t="str">
        <f>RTD("rtdtrading.rtdserver",, "T&amp;T0", "AVD", 355)</f>
        <v>-</v>
      </c>
      <c r="F358" s="1" t="str">
        <f>RTD("rtdtrading.rtdserver",, "T&amp;T0", "AGR", 355)</f>
        <v>-</v>
      </c>
      <c r="G358" s="1" t="str">
        <f>RTD("rtdtrading.rtdserver",, "T&amp;T0", "AGAG", 355)</f>
        <v>-</v>
      </c>
    </row>
    <row r="359" spans="1:7" x14ac:dyDescent="0.25">
      <c r="A359" s="1" t="str">
        <f>RTD("rtdtrading.rtdserver",, "T&amp;T0", "DAT", 356)</f>
        <v>-</v>
      </c>
      <c r="B359" s="1" t="str">
        <f>RTD("rtdtrading.rtdserver",, "T&amp;T0", "ACP", 356)</f>
        <v>-</v>
      </c>
      <c r="C359" s="1">
        <f>RTD("rtdtrading.rtdserver",, "T&amp;T0", "PRE", 356)</f>
        <v>0</v>
      </c>
      <c r="D359" s="1">
        <f>RTD("rtdtrading.rtdserver",, "T&amp;T0", "QUL", 356)</f>
        <v>0</v>
      </c>
      <c r="E359" s="1" t="str">
        <f>RTD("rtdtrading.rtdserver",, "T&amp;T0", "AVD", 356)</f>
        <v>-</v>
      </c>
      <c r="F359" s="1" t="str">
        <f>RTD("rtdtrading.rtdserver",, "T&amp;T0", "AGR", 356)</f>
        <v>-</v>
      </c>
      <c r="G359" s="1" t="str">
        <f>RTD("rtdtrading.rtdserver",, "T&amp;T0", "AGAG", 356)</f>
        <v>-</v>
      </c>
    </row>
    <row r="360" spans="1:7" x14ac:dyDescent="0.25">
      <c r="A360" s="1" t="str">
        <f>RTD("rtdtrading.rtdserver",, "T&amp;T0", "DAT", 357)</f>
        <v>-</v>
      </c>
      <c r="B360" s="1" t="str">
        <f>RTD("rtdtrading.rtdserver",, "T&amp;T0", "ACP", 357)</f>
        <v>-</v>
      </c>
      <c r="C360" s="1">
        <f>RTD("rtdtrading.rtdserver",, "T&amp;T0", "PRE", 357)</f>
        <v>0</v>
      </c>
      <c r="D360" s="1">
        <f>RTD("rtdtrading.rtdserver",, "T&amp;T0", "QUL", 357)</f>
        <v>0</v>
      </c>
      <c r="E360" s="1" t="str">
        <f>RTD("rtdtrading.rtdserver",, "T&amp;T0", "AVD", 357)</f>
        <v>-</v>
      </c>
      <c r="F360" s="1" t="str">
        <f>RTD("rtdtrading.rtdserver",, "T&amp;T0", "AGR", 357)</f>
        <v>-</v>
      </c>
      <c r="G360" s="1" t="str">
        <f>RTD("rtdtrading.rtdserver",, "T&amp;T0", "AGAG", 357)</f>
        <v>-</v>
      </c>
    </row>
    <row r="361" spans="1:7" x14ac:dyDescent="0.25">
      <c r="A361" s="1" t="str">
        <f>RTD("rtdtrading.rtdserver",, "T&amp;T0", "DAT", 358)</f>
        <v>-</v>
      </c>
      <c r="B361" s="1" t="str">
        <f>RTD("rtdtrading.rtdserver",, "T&amp;T0", "ACP", 358)</f>
        <v>-</v>
      </c>
      <c r="C361" s="1">
        <f>RTD("rtdtrading.rtdserver",, "T&amp;T0", "PRE", 358)</f>
        <v>0</v>
      </c>
      <c r="D361" s="1">
        <f>RTD("rtdtrading.rtdserver",, "T&amp;T0", "QUL", 358)</f>
        <v>0</v>
      </c>
      <c r="E361" s="1" t="str">
        <f>RTD("rtdtrading.rtdserver",, "T&amp;T0", "AVD", 358)</f>
        <v>-</v>
      </c>
      <c r="F361" s="1" t="str">
        <f>RTD("rtdtrading.rtdserver",, "T&amp;T0", "AGR", 358)</f>
        <v>-</v>
      </c>
      <c r="G361" s="1" t="str">
        <f>RTD("rtdtrading.rtdserver",, "T&amp;T0", "AGAG", 358)</f>
        <v>-</v>
      </c>
    </row>
    <row r="362" spans="1:7" x14ac:dyDescent="0.25">
      <c r="A362" s="1" t="str">
        <f>RTD("rtdtrading.rtdserver",, "T&amp;T0", "DAT", 359)</f>
        <v>-</v>
      </c>
      <c r="B362" s="1" t="str">
        <f>RTD("rtdtrading.rtdserver",, "T&amp;T0", "ACP", 359)</f>
        <v>-</v>
      </c>
      <c r="C362" s="1">
        <f>RTD("rtdtrading.rtdserver",, "T&amp;T0", "PRE", 359)</f>
        <v>0</v>
      </c>
      <c r="D362" s="1">
        <f>RTD("rtdtrading.rtdserver",, "T&amp;T0", "QUL", 359)</f>
        <v>0</v>
      </c>
      <c r="E362" s="1" t="str">
        <f>RTD("rtdtrading.rtdserver",, "T&amp;T0", "AVD", 359)</f>
        <v>-</v>
      </c>
      <c r="F362" s="1" t="str">
        <f>RTD("rtdtrading.rtdserver",, "T&amp;T0", "AGR", 359)</f>
        <v>-</v>
      </c>
      <c r="G362" s="1" t="str">
        <f>RTD("rtdtrading.rtdserver",, "T&amp;T0", "AGAG", 359)</f>
        <v>-</v>
      </c>
    </row>
    <row r="363" spans="1:7" x14ac:dyDescent="0.25">
      <c r="A363" s="1" t="str">
        <f>RTD("rtdtrading.rtdserver",, "T&amp;T0", "DAT", 360)</f>
        <v>-</v>
      </c>
      <c r="B363" s="1" t="str">
        <f>RTD("rtdtrading.rtdserver",, "T&amp;T0", "ACP", 360)</f>
        <v>-</v>
      </c>
      <c r="C363" s="1">
        <f>RTD("rtdtrading.rtdserver",, "T&amp;T0", "PRE", 360)</f>
        <v>0</v>
      </c>
      <c r="D363" s="1">
        <f>RTD("rtdtrading.rtdserver",, "T&amp;T0", "QUL", 360)</f>
        <v>0</v>
      </c>
      <c r="E363" s="1" t="str">
        <f>RTD("rtdtrading.rtdserver",, "T&amp;T0", "AVD", 360)</f>
        <v>-</v>
      </c>
      <c r="F363" s="1" t="str">
        <f>RTD("rtdtrading.rtdserver",, "T&amp;T0", "AGR", 360)</f>
        <v>-</v>
      </c>
      <c r="G363" s="1" t="str">
        <f>RTD("rtdtrading.rtdserver",, "T&amp;T0", "AGAG", 360)</f>
        <v>-</v>
      </c>
    </row>
    <row r="364" spans="1:7" x14ac:dyDescent="0.25">
      <c r="A364" s="1" t="str">
        <f>RTD("rtdtrading.rtdserver",, "T&amp;T0", "DAT", 361)</f>
        <v>-</v>
      </c>
      <c r="B364" s="1" t="str">
        <f>RTD("rtdtrading.rtdserver",, "T&amp;T0", "ACP", 361)</f>
        <v>-</v>
      </c>
      <c r="C364" s="1">
        <f>RTD("rtdtrading.rtdserver",, "T&amp;T0", "PRE", 361)</f>
        <v>0</v>
      </c>
      <c r="D364" s="1">
        <f>RTD("rtdtrading.rtdserver",, "T&amp;T0", "QUL", 361)</f>
        <v>0</v>
      </c>
      <c r="E364" s="1" t="str">
        <f>RTD("rtdtrading.rtdserver",, "T&amp;T0", "AVD", 361)</f>
        <v>-</v>
      </c>
      <c r="F364" s="1" t="str">
        <f>RTD("rtdtrading.rtdserver",, "T&amp;T0", "AGR", 361)</f>
        <v>-</v>
      </c>
      <c r="G364" s="1" t="str">
        <f>RTD("rtdtrading.rtdserver",, "T&amp;T0", "AGAG", 361)</f>
        <v>-</v>
      </c>
    </row>
    <row r="365" spans="1:7" x14ac:dyDescent="0.25">
      <c r="A365" s="1" t="str">
        <f>RTD("rtdtrading.rtdserver",, "T&amp;T0", "DAT", 362)</f>
        <v>-</v>
      </c>
      <c r="B365" s="1" t="str">
        <f>RTD("rtdtrading.rtdserver",, "T&amp;T0", "ACP", 362)</f>
        <v>-</v>
      </c>
      <c r="C365" s="1">
        <f>RTD("rtdtrading.rtdserver",, "T&amp;T0", "PRE", 362)</f>
        <v>0</v>
      </c>
      <c r="D365" s="1">
        <f>RTD("rtdtrading.rtdserver",, "T&amp;T0", "QUL", 362)</f>
        <v>0</v>
      </c>
      <c r="E365" s="1" t="str">
        <f>RTD("rtdtrading.rtdserver",, "T&amp;T0", "AVD", 362)</f>
        <v>-</v>
      </c>
      <c r="F365" s="1" t="str">
        <f>RTD("rtdtrading.rtdserver",, "T&amp;T0", "AGR", 362)</f>
        <v>-</v>
      </c>
      <c r="G365" s="1" t="str">
        <f>RTD("rtdtrading.rtdserver",, "T&amp;T0", "AGAG", 362)</f>
        <v>-</v>
      </c>
    </row>
    <row r="366" spans="1:7" x14ac:dyDescent="0.25">
      <c r="A366" s="1" t="str">
        <f>RTD("rtdtrading.rtdserver",, "T&amp;T0", "DAT", 363)</f>
        <v>-</v>
      </c>
      <c r="B366" s="1" t="str">
        <f>RTD("rtdtrading.rtdserver",, "T&amp;T0", "ACP", 363)</f>
        <v>-</v>
      </c>
      <c r="C366" s="1">
        <f>RTD("rtdtrading.rtdserver",, "T&amp;T0", "PRE", 363)</f>
        <v>0</v>
      </c>
      <c r="D366" s="1">
        <f>RTD("rtdtrading.rtdserver",, "T&amp;T0", "QUL", 363)</f>
        <v>0</v>
      </c>
      <c r="E366" s="1" t="str">
        <f>RTD("rtdtrading.rtdserver",, "T&amp;T0", "AVD", 363)</f>
        <v>-</v>
      </c>
      <c r="F366" s="1" t="str">
        <f>RTD("rtdtrading.rtdserver",, "T&amp;T0", "AGR", 363)</f>
        <v>-</v>
      </c>
      <c r="G366" s="1" t="str">
        <f>RTD("rtdtrading.rtdserver",, "T&amp;T0", "AGAG", 363)</f>
        <v>-</v>
      </c>
    </row>
    <row r="367" spans="1:7" x14ac:dyDescent="0.25">
      <c r="A367" s="1" t="str">
        <f>RTD("rtdtrading.rtdserver",, "T&amp;T0", "DAT", 364)</f>
        <v>-</v>
      </c>
      <c r="B367" s="1" t="str">
        <f>RTD("rtdtrading.rtdserver",, "T&amp;T0", "ACP", 364)</f>
        <v>-</v>
      </c>
      <c r="C367" s="1">
        <f>RTD("rtdtrading.rtdserver",, "T&amp;T0", "PRE", 364)</f>
        <v>0</v>
      </c>
      <c r="D367" s="1">
        <f>RTD("rtdtrading.rtdserver",, "T&amp;T0", "QUL", 364)</f>
        <v>0</v>
      </c>
      <c r="E367" s="1" t="str">
        <f>RTD("rtdtrading.rtdserver",, "T&amp;T0", "AVD", 364)</f>
        <v>-</v>
      </c>
      <c r="F367" s="1" t="str">
        <f>RTD("rtdtrading.rtdserver",, "T&amp;T0", "AGR", 364)</f>
        <v>-</v>
      </c>
      <c r="G367" s="1" t="str">
        <f>RTD("rtdtrading.rtdserver",, "T&amp;T0", "AGAG", 364)</f>
        <v>-</v>
      </c>
    </row>
    <row r="368" spans="1:7" x14ac:dyDescent="0.25">
      <c r="A368" s="1" t="str">
        <f>RTD("rtdtrading.rtdserver",, "T&amp;T0", "DAT", 365)</f>
        <v>-</v>
      </c>
      <c r="B368" s="1" t="str">
        <f>RTD("rtdtrading.rtdserver",, "T&amp;T0", "ACP", 365)</f>
        <v>-</v>
      </c>
      <c r="C368" s="1">
        <f>RTD("rtdtrading.rtdserver",, "T&amp;T0", "PRE", 365)</f>
        <v>0</v>
      </c>
      <c r="D368" s="1">
        <f>RTD("rtdtrading.rtdserver",, "T&amp;T0", "QUL", 365)</f>
        <v>0</v>
      </c>
      <c r="E368" s="1" t="str">
        <f>RTD("rtdtrading.rtdserver",, "T&amp;T0", "AVD", 365)</f>
        <v>-</v>
      </c>
      <c r="F368" s="1" t="str">
        <f>RTD("rtdtrading.rtdserver",, "T&amp;T0", "AGR", 365)</f>
        <v>-</v>
      </c>
      <c r="G368" s="1" t="str">
        <f>RTD("rtdtrading.rtdserver",, "T&amp;T0", "AGAG", 365)</f>
        <v>-</v>
      </c>
    </row>
    <row r="369" spans="1:7" x14ac:dyDescent="0.25">
      <c r="A369" s="1" t="str">
        <f>RTD("rtdtrading.rtdserver",, "T&amp;T0", "DAT", 366)</f>
        <v>-</v>
      </c>
      <c r="B369" s="1" t="str">
        <f>RTD("rtdtrading.rtdserver",, "T&amp;T0", "ACP", 366)</f>
        <v>-</v>
      </c>
      <c r="C369" s="1">
        <f>RTD("rtdtrading.rtdserver",, "T&amp;T0", "PRE", 366)</f>
        <v>0</v>
      </c>
      <c r="D369" s="1">
        <f>RTD("rtdtrading.rtdserver",, "T&amp;T0", "QUL", 366)</f>
        <v>0</v>
      </c>
      <c r="E369" s="1" t="str">
        <f>RTD("rtdtrading.rtdserver",, "T&amp;T0", "AVD", 366)</f>
        <v>-</v>
      </c>
      <c r="F369" s="1" t="str">
        <f>RTD("rtdtrading.rtdserver",, "T&amp;T0", "AGR", 366)</f>
        <v>-</v>
      </c>
      <c r="G369" s="1" t="str">
        <f>RTD("rtdtrading.rtdserver",, "T&amp;T0", "AGAG", 366)</f>
        <v>-</v>
      </c>
    </row>
    <row r="370" spans="1:7" x14ac:dyDescent="0.25">
      <c r="A370" s="1" t="str">
        <f>RTD("rtdtrading.rtdserver",, "T&amp;T0", "DAT", 367)</f>
        <v>-</v>
      </c>
      <c r="B370" s="1" t="str">
        <f>RTD("rtdtrading.rtdserver",, "T&amp;T0", "ACP", 367)</f>
        <v>-</v>
      </c>
      <c r="C370" s="1">
        <f>RTD("rtdtrading.rtdserver",, "T&amp;T0", "PRE", 367)</f>
        <v>0</v>
      </c>
      <c r="D370" s="1">
        <f>RTD("rtdtrading.rtdserver",, "T&amp;T0", "QUL", 367)</f>
        <v>0</v>
      </c>
      <c r="E370" s="1" t="str">
        <f>RTD("rtdtrading.rtdserver",, "T&amp;T0", "AVD", 367)</f>
        <v>-</v>
      </c>
      <c r="F370" s="1" t="str">
        <f>RTD("rtdtrading.rtdserver",, "T&amp;T0", "AGR", 367)</f>
        <v>-</v>
      </c>
      <c r="G370" s="1" t="str">
        <f>RTD("rtdtrading.rtdserver",, "T&amp;T0", "AGAG", 367)</f>
        <v>-</v>
      </c>
    </row>
    <row r="371" spans="1:7" x14ac:dyDescent="0.25">
      <c r="A371" s="1" t="str">
        <f>RTD("rtdtrading.rtdserver",, "T&amp;T0", "DAT", 368)</f>
        <v>-</v>
      </c>
      <c r="B371" s="1" t="str">
        <f>RTD("rtdtrading.rtdserver",, "T&amp;T0", "ACP", 368)</f>
        <v>-</v>
      </c>
      <c r="C371" s="1">
        <f>RTD("rtdtrading.rtdserver",, "T&amp;T0", "PRE", 368)</f>
        <v>0</v>
      </c>
      <c r="D371" s="1">
        <f>RTD("rtdtrading.rtdserver",, "T&amp;T0", "QUL", 368)</f>
        <v>0</v>
      </c>
      <c r="E371" s="1" t="str">
        <f>RTD("rtdtrading.rtdserver",, "T&amp;T0", "AVD", 368)</f>
        <v>-</v>
      </c>
      <c r="F371" s="1" t="str">
        <f>RTD("rtdtrading.rtdserver",, "T&amp;T0", "AGR", 368)</f>
        <v>-</v>
      </c>
      <c r="G371" s="1" t="str">
        <f>RTD("rtdtrading.rtdserver",, "T&amp;T0", "AGAG", 368)</f>
        <v>-</v>
      </c>
    </row>
    <row r="372" spans="1:7" x14ac:dyDescent="0.25">
      <c r="A372" s="1" t="str">
        <f>RTD("rtdtrading.rtdserver",, "T&amp;T0", "DAT", 369)</f>
        <v>-</v>
      </c>
      <c r="B372" s="1" t="str">
        <f>RTD("rtdtrading.rtdserver",, "T&amp;T0", "ACP", 369)</f>
        <v>-</v>
      </c>
      <c r="C372" s="1">
        <f>RTD("rtdtrading.rtdserver",, "T&amp;T0", "PRE", 369)</f>
        <v>0</v>
      </c>
      <c r="D372" s="1">
        <f>RTD("rtdtrading.rtdserver",, "T&amp;T0", "QUL", 369)</f>
        <v>0</v>
      </c>
      <c r="E372" s="1" t="str">
        <f>RTD("rtdtrading.rtdserver",, "T&amp;T0", "AVD", 369)</f>
        <v>-</v>
      </c>
      <c r="F372" s="1" t="str">
        <f>RTD("rtdtrading.rtdserver",, "T&amp;T0", "AGR", 369)</f>
        <v>-</v>
      </c>
      <c r="G372" s="1" t="str">
        <f>RTD("rtdtrading.rtdserver",, "T&amp;T0", "AGAG", 369)</f>
        <v>-</v>
      </c>
    </row>
    <row r="373" spans="1:7" x14ac:dyDescent="0.25">
      <c r="A373" s="1" t="str">
        <f>RTD("rtdtrading.rtdserver",, "T&amp;T0", "DAT", 370)</f>
        <v>-</v>
      </c>
      <c r="B373" s="1" t="str">
        <f>RTD("rtdtrading.rtdserver",, "T&amp;T0", "ACP", 370)</f>
        <v>-</v>
      </c>
      <c r="C373" s="1">
        <f>RTD("rtdtrading.rtdserver",, "T&amp;T0", "PRE", 370)</f>
        <v>0</v>
      </c>
      <c r="D373" s="1">
        <f>RTD("rtdtrading.rtdserver",, "T&amp;T0", "QUL", 370)</f>
        <v>0</v>
      </c>
      <c r="E373" s="1" t="str">
        <f>RTD("rtdtrading.rtdserver",, "T&amp;T0", "AVD", 370)</f>
        <v>-</v>
      </c>
      <c r="F373" s="1" t="str">
        <f>RTD("rtdtrading.rtdserver",, "T&amp;T0", "AGR", 370)</f>
        <v>-</v>
      </c>
      <c r="G373" s="1" t="str">
        <f>RTD("rtdtrading.rtdserver",, "T&amp;T0", "AGAG", 370)</f>
        <v>-</v>
      </c>
    </row>
    <row r="374" spans="1:7" x14ac:dyDescent="0.25">
      <c r="A374" s="1" t="str">
        <f>RTD("rtdtrading.rtdserver",, "T&amp;T0", "DAT", 371)</f>
        <v>-</v>
      </c>
      <c r="B374" s="1" t="str">
        <f>RTD("rtdtrading.rtdserver",, "T&amp;T0", "ACP", 371)</f>
        <v>-</v>
      </c>
      <c r="C374" s="1">
        <f>RTD("rtdtrading.rtdserver",, "T&amp;T0", "PRE", 371)</f>
        <v>0</v>
      </c>
      <c r="D374" s="1">
        <f>RTD("rtdtrading.rtdserver",, "T&amp;T0", "QUL", 371)</f>
        <v>0</v>
      </c>
      <c r="E374" s="1" t="str">
        <f>RTD("rtdtrading.rtdserver",, "T&amp;T0", "AVD", 371)</f>
        <v>-</v>
      </c>
      <c r="F374" s="1" t="str">
        <f>RTD("rtdtrading.rtdserver",, "T&amp;T0", "AGR", 371)</f>
        <v>-</v>
      </c>
      <c r="G374" s="1" t="str">
        <f>RTD("rtdtrading.rtdserver",, "T&amp;T0", "AGAG", 371)</f>
        <v>-</v>
      </c>
    </row>
    <row r="375" spans="1:7" x14ac:dyDescent="0.25">
      <c r="A375" s="1" t="str">
        <f>RTD("rtdtrading.rtdserver",, "T&amp;T0", "DAT", 372)</f>
        <v>-</v>
      </c>
      <c r="B375" s="1" t="str">
        <f>RTD("rtdtrading.rtdserver",, "T&amp;T0", "ACP", 372)</f>
        <v>-</v>
      </c>
      <c r="C375" s="1">
        <f>RTD("rtdtrading.rtdserver",, "T&amp;T0", "PRE", 372)</f>
        <v>0</v>
      </c>
      <c r="D375" s="1">
        <f>RTD("rtdtrading.rtdserver",, "T&amp;T0", "QUL", 372)</f>
        <v>0</v>
      </c>
      <c r="E375" s="1" t="str">
        <f>RTD("rtdtrading.rtdserver",, "T&amp;T0", "AVD", 372)</f>
        <v>-</v>
      </c>
      <c r="F375" s="1" t="str">
        <f>RTD("rtdtrading.rtdserver",, "T&amp;T0", "AGR", 372)</f>
        <v>-</v>
      </c>
      <c r="G375" s="1" t="str">
        <f>RTD("rtdtrading.rtdserver",, "T&amp;T0", "AGAG", 372)</f>
        <v>-</v>
      </c>
    </row>
    <row r="376" spans="1:7" x14ac:dyDescent="0.25">
      <c r="A376" s="1" t="str">
        <f>RTD("rtdtrading.rtdserver",, "T&amp;T0", "DAT", 373)</f>
        <v>-</v>
      </c>
      <c r="B376" s="1" t="str">
        <f>RTD("rtdtrading.rtdserver",, "T&amp;T0", "ACP", 373)</f>
        <v>-</v>
      </c>
      <c r="C376" s="1">
        <f>RTD("rtdtrading.rtdserver",, "T&amp;T0", "PRE", 373)</f>
        <v>0</v>
      </c>
      <c r="D376" s="1">
        <f>RTD("rtdtrading.rtdserver",, "T&amp;T0", "QUL", 373)</f>
        <v>0</v>
      </c>
      <c r="E376" s="1" t="str">
        <f>RTD("rtdtrading.rtdserver",, "T&amp;T0", "AVD", 373)</f>
        <v>-</v>
      </c>
      <c r="F376" s="1" t="str">
        <f>RTD("rtdtrading.rtdserver",, "T&amp;T0", "AGR", 373)</f>
        <v>-</v>
      </c>
      <c r="G376" s="1" t="str">
        <f>RTD("rtdtrading.rtdserver",, "T&amp;T0", "AGAG", 373)</f>
        <v>-</v>
      </c>
    </row>
    <row r="377" spans="1:7" x14ac:dyDescent="0.25">
      <c r="A377" s="1" t="str">
        <f>RTD("rtdtrading.rtdserver",, "T&amp;T0", "DAT", 374)</f>
        <v>-</v>
      </c>
      <c r="B377" s="1" t="str">
        <f>RTD("rtdtrading.rtdserver",, "T&amp;T0", "ACP", 374)</f>
        <v>-</v>
      </c>
      <c r="C377" s="1">
        <f>RTD("rtdtrading.rtdserver",, "T&amp;T0", "PRE", 374)</f>
        <v>0</v>
      </c>
      <c r="D377" s="1">
        <f>RTD("rtdtrading.rtdserver",, "T&amp;T0", "QUL", 374)</f>
        <v>0</v>
      </c>
      <c r="E377" s="1" t="str">
        <f>RTD("rtdtrading.rtdserver",, "T&amp;T0", "AVD", 374)</f>
        <v>-</v>
      </c>
      <c r="F377" s="1" t="str">
        <f>RTD("rtdtrading.rtdserver",, "T&amp;T0", "AGR", 374)</f>
        <v>-</v>
      </c>
      <c r="G377" s="1" t="str">
        <f>RTD("rtdtrading.rtdserver",, "T&amp;T0", "AGAG", 374)</f>
        <v>-</v>
      </c>
    </row>
    <row r="378" spans="1:7" x14ac:dyDescent="0.25">
      <c r="A378" s="1" t="str">
        <f>RTD("rtdtrading.rtdserver",, "T&amp;T0", "DAT", 375)</f>
        <v>-</v>
      </c>
      <c r="B378" s="1" t="str">
        <f>RTD("rtdtrading.rtdserver",, "T&amp;T0", "ACP", 375)</f>
        <v>-</v>
      </c>
      <c r="C378" s="1">
        <f>RTD("rtdtrading.rtdserver",, "T&amp;T0", "PRE", 375)</f>
        <v>0</v>
      </c>
      <c r="D378" s="1">
        <f>RTD("rtdtrading.rtdserver",, "T&amp;T0", "QUL", 375)</f>
        <v>0</v>
      </c>
      <c r="E378" s="1" t="str">
        <f>RTD("rtdtrading.rtdserver",, "T&amp;T0", "AVD", 375)</f>
        <v>-</v>
      </c>
      <c r="F378" s="1" t="str">
        <f>RTD("rtdtrading.rtdserver",, "T&amp;T0", "AGR", 375)</f>
        <v>-</v>
      </c>
      <c r="G378" s="1" t="str">
        <f>RTD("rtdtrading.rtdserver",, "T&amp;T0", "AGAG", 375)</f>
        <v>-</v>
      </c>
    </row>
    <row r="379" spans="1:7" x14ac:dyDescent="0.25">
      <c r="A379" s="1" t="str">
        <f>RTD("rtdtrading.rtdserver",, "T&amp;T0", "DAT", 376)</f>
        <v>-</v>
      </c>
      <c r="B379" s="1" t="str">
        <f>RTD("rtdtrading.rtdserver",, "T&amp;T0", "ACP", 376)</f>
        <v>-</v>
      </c>
      <c r="C379" s="1">
        <f>RTD("rtdtrading.rtdserver",, "T&amp;T0", "PRE", 376)</f>
        <v>0</v>
      </c>
      <c r="D379" s="1">
        <f>RTD("rtdtrading.rtdserver",, "T&amp;T0", "QUL", 376)</f>
        <v>0</v>
      </c>
      <c r="E379" s="1" t="str">
        <f>RTD("rtdtrading.rtdserver",, "T&amp;T0", "AVD", 376)</f>
        <v>-</v>
      </c>
      <c r="F379" s="1" t="str">
        <f>RTD("rtdtrading.rtdserver",, "T&amp;T0", "AGR", 376)</f>
        <v>-</v>
      </c>
      <c r="G379" s="1" t="str">
        <f>RTD("rtdtrading.rtdserver",, "T&amp;T0", "AGAG", 376)</f>
        <v>-</v>
      </c>
    </row>
    <row r="380" spans="1:7" x14ac:dyDescent="0.25">
      <c r="A380" s="1" t="str">
        <f>RTD("rtdtrading.rtdserver",, "T&amp;T0", "DAT", 377)</f>
        <v>-</v>
      </c>
      <c r="B380" s="1" t="str">
        <f>RTD("rtdtrading.rtdserver",, "T&amp;T0", "ACP", 377)</f>
        <v>-</v>
      </c>
      <c r="C380" s="1">
        <f>RTD("rtdtrading.rtdserver",, "T&amp;T0", "PRE", 377)</f>
        <v>0</v>
      </c>
      <c r="D380" s="1">
        <f>RTD("rtdtrading.rtdserver",, "T&amp;T0", "QUL", 377)</f>
        <v>0</v>
      </c>
      <c r="E380" s="1" t="str">
        <f>RTD("rtdtrading.rtdserver",, "T&amp;T0", "AVD", 377)</f>
        <v>-</v>
      </c>
      <c r="F380" s="1" t="str">
        <f>RTD("rtdtrading.rtdserver",, "T&amp;T0", "AGR", 377)</f>
        <v>-</v>
      </c>
      <c r="G380" s="1" t="str">
        <f>RTD("rtdtrading.rtdserver",, "T&amp;T0", "AGAG", 377)</f>
        <v>-</v>
      </c>
    </row>
    <row r="381" spans="1:7" x14ac:dyDescent="0.25">
      <c r="A381" s="1" t="str">
        <f>RTD("rtdtrading.rtdserver",, "T&amp;T0", "DAT", 378)</f>
        <v>-</v>
      </c>
      <c r="B381" s="1" t="str">
        <f>RTD("rtdtrading.rtdserver",, "T&amp;T0", "ACP", 378)</f>
        <v>-</v>
      </c>
      <c r="C381" s="1">
        <f>RTD("rtdtrading.rtdserver",, "T&amp;T0", "PRE", 378)</f>
        <v>0</v>
      </c>
      <c r="D381" s="1">
        <f>RTD("rtdtrading.rtdserver",, "T&amp;T0", "QUL", 378)</f>
        <v>0</v>
      </c>
      <c r="E381" s="1" t="str">
        <f>RTD("rtdtrading.rtdserver",, "T&amp;T0", "AVD", 378)</f>
        <v>-</v>
      </c>
      <c r="F381" s="1" t="str">
        <f>RTD("rtdtrading.rtdserver",, "T&amp;T0", "AGR", 378)</f>
        <v>-</v>
      </c>
      <c r="G381" s="1" t="str">
        <f>RTD("rtdtrading.rtdserver",, "T&amp;T0", "AGAG", 378)</f>
        <v>-</v>
      </c>
    </row>
    <row r="382" spans="1:7" x14ac:dyDescent="0.25">
      <c r="A382" s="1" t="str">
        <f>RTD("rtdtrading.rtdserver",, "T&amp;T0", "DAT", 379)</f>
        <v>-</v>
      </c>
      <c r="B382" s="1" t="str">
        <f>RTD("rtdtrading.rtdserver",, "T&amp;T0", "ACP", 379)</f>
        <v>-</v>
      </c>
      <c r="C382" s="1">
        <f>RTD("rtdtrading.rtdserver",, "T&amp;T0", "PRE", 379)</f>
        <v>0</v>
      </c>
      <c r="D382" s="1">
        <f>RTD("rtdtrading.rtdserver",, "T&amp;T0", "QUL", 379)</f>
        <v>0</v>
      </c>
      <c r="E382" s="1" t="str">
        <f>RTD("rtdtrading.rtdserver",, "T&amp;T0", "AVD", 379)</f>
        <v>-</v>
      </c>
      <c r="F382" s="1" t="str">
        <f>RTD("rtdtrading.rtdserver",, "T&amp;T0", "AGR", 379)</f>
        <v>-</v>
      </c>
      <c r="G382" s="1" t="str">
        <f>RTD("rtdtrading.rtdserver",, "T&amp;T0", "AGAG", 379)</f>
        <v>-</v>
      </c>
    </row>
    <row r="383" spans="1:7" x14ac:dyDescent="0.25">
      <c r="A383" s="1" t="str">
        <f>RTD("rtdtrading.rtdserver",, "T&amp;T0", "DAT", 380)</f>
        <v>-</v>
      </c>
      <c r="B383" s="1" t="str">
        <f>RTD("rtdtrading.rtdserver",, "T&amp;T0", "ACP", 380)</f>
        <v>-</v>
      </c>
      <c r="C383" s="1">
        <f>RTD("rtdtrading.rtdserver",, "T&amp;T0", "PRE", 380)</f>
        <v>0</v>
      </c>
      <c r="D383" s="1">
        <f>RTD("rtdtrading.rtdserver",, "T&amp;T0", "QUL", 380)</f>
        <v>0</v>
      </c>
      <c r="E383" s="1" t="str">
        <f>RTD("rtdtrading.rtdserver",, "T&amp;T0", "AVD", 380)</f>
        <v>-</v>
      </c>
      <c r="F383" s="1" t="str">
        <f>RTD("rtdtrading.rtdserver",, "T&amp;T0", "AGR", 380)</f>
        <v>-</v>
      </c>
      <c r="G383" s="1" t="str">
        <f>RTD("rtdtrading.rtdserver",, "T&amp;T0", "AGAG", 380)</f>
        <v>-</v>
      </c>
    </row>
    <row r="384" spans="1:7" x14ac:dyDescent="0.25">
      <c r="A384" s="1" t="str">
        <f>RTD("rtdtrading.rtdserver",, "T&amp;T0", "DAT", 381)</f>
        <v>-</v>
      </c>
      <c r="B384" s="1" t="str">
        <f>RTD("rtdtrading.rtdserver",, "T&amp;T0", "ACP", 381)</f>
        <v>-</v>
      </c>
      <c r="C384" s="1">
        <f>RTD("rtdtrading.rtdserver",, "T&amp;T0", "PRE", 381)</f>
        <v>0</v>
      </c>
      <c r="D384" s="1">
        <f>RTD("rtdtrading.rtdserver",, "T&amp;T0", "QUL", 381)</f>
        <v>0</v>
      </c>
      <c r="E384" s="1" t="str">
        <f>RTD("rtdtrading.rtdserver",, "T&amp;T0", "AVD", 381)</f>
        <v>-</v>
      </c>
      <c r="F384" s="1" t="str">
        <f>RTD("rtdtrading.rtdserver",, "T&amp;T0", "AGR", 381)</f>
        <v>-</v>
      </c>
      <c r="G384" s="1" t="str">
        <f>RTD("rtdtrading.rtdserver",, "T&amp;T0", "AGAG", 381)</f>
        <v>-</v>
      </c>
    </row>
    <row r="385" spans="1:7" x14ac:dyDescent="0.25">
      <c r="A385" s="1" t="str">
        <f>RTD("rtdtrading.rtdserver",, "T&amp;T0", "DAT", 382)</f>
        <v>-</v>
      </c>
      <c r="B385" s="1" t="str">
        <f>RTD("rtdtrading.rtdserver",, "T&amp;T0", "ACP", 382)</f>
        <v>-</v>
      </c>
      <c r="C385" s="1">
        <f>RTD("rtdtrading.rtdserver",, "T&amp;T0", "PRE", 382)</f>
        <v>0</v>
      </c>
      <c r="D385" s="1">
        <f>RTD("rtdtrading.rtdserver",, "T&amp;T0", "QUL", 382)</f>
        <v>0</v>
      </c>
      <c r="E385" s="1" t="str">
        <f>RTD("rtdtrading.rtdserver",, "T&amp;T0", "AVD", 382)</f>
        <v>-</v>
      </c>
      <c r="F385" s="1" t="str">
        <f>RTD("rtdtrading.rtdserver",, "T&amp;T0", "AGR", 382)</f>
        <v>-</v>
      </c>
      <c r="G385" s="1" t="str">
        <f>RTD("rtdtrading.rtdserver",, "T&amp;T0", "AGAG", 382)</f>
        <v>-</v>
      </c>
    </row>
    <row r="386" spans="1:7" x14ac:dyDescent="0.25">
      <c r="A386" s="1" t="str">
        <f>RTD("rtdtrading.rtdserver",, "T&amp;T0", "DAT", 383)</f>
        <v>-</v>
      </c>
      <c r="B386" s="1" t="str">
        <f>RTD("rtdtrading.rtdserver",, "T&amp;T0", "ACP", 383)</f>
        <v>-</v>
      </c>
      <c r="C386" s="1">
        <f>RTD("rtdtrading.rtdserver",, "T&amp;T0", "PRE", 383)</f>
        <v>0</v>
      </c>
      <c r="D386" s="1">
        <f>RTD("rtdtrading.rtdserver",, "T&amp;T0", "QUL", 383)</f>
        <v>0</v>
      </c>
      <c r="E386" s="1" t="str">
        <f>RTD("rtdtrading.rtdserver",, "T&amp;T0", "AVD", 383)</f>
        <v>-</v>
      </c>
      <c r="F386" s="1" t="str">
        <f>RTD("rtdtrading.rtdserver",, "T&amp;T0", "AGR", 383)</f>
        <v>-</v>
      </c>
      <c r="G386" s="1" t="str">
        <f>RTD("rtdtrading.rtdserver",, "T&amp;T0", "AGAG", 383)</f>
        <v>-</v>
      </c>
    </row>
    <row r="387" spans="1:7" x14ac:dyDescent="0.25">
      <c r="A387" s="1" t="str">
        <f>RTD("rtdtrading.rtdserver",, "T&amp;T0", "DAT", 384)</f>
        <v>-</v>
      </c>
      <c r="B387" s="1" t="str">
        <f>RTD("rtdtrading.rtdserver",, "T&amp;T0", "ACP", 384)</f>
        <v>-</v>
      </c>
      <c r="C387" s="1">
        <f>RTD("rtdtrading.rtdserver",, "T&amp;T0", "PRE", 384)</f>
        <v>0</v>
      </c>
      <c r="D387" s="1">
        <f>RTD("rtdtrading.rtdserver",, "T&amp;T0", "QUL", 384)</f>
        <v>0</v>
      </c>
      <c r="E387" s="1" t="str">
        <f>RTD("rtdtrading.rtdserver",, "T&amp;T0", "AVD", 384)</f>
        <v>-</v>
      </c>
      <c r="F387" s="1" t="str">
        <f>RTD("rtdtrading.rtdserver",, "T&amp;T0", "AGR", 384)</f>
        <v>-</v>
      </c>
      <c r="G387" s="1" t="str">
        <f>RTD("rtdtrading.rtdserver",, "T&amp;T0", "AGAG", 384)</f>
        <v>-</v>
      </c>
    </row>
    <row r="388" spans="1:7" x14ac:dyDescent="0.25">
      <c r="A388" s="1" t="str">
        <f>RTD("rtdtrading.rtdserver",, "T&amp;T0", "DAT", 385)</f>
        <v>-</v>
      </c>
      <c r="B388" s="1" t="str">
        <f>RTD("rtdtrading.rtdserver",, "T&amp;T0", "ACP", 385)</f>
        <v>-</v>
      </c>
      <c r="C388" s="1">
        <f>RTD("rtdtrading.rtdserver",, "T&amp;T0", "PRE", 385)</f>
        <v>0</v>
      </c>
      <c r="D388" s="1">
        <f>RTD("rtdtrading.rtdserver",, "T&amp;T0", "QUL", 385)</f>
        <v>0</v>
      </c>
      <c r="E388" s="1" t="str">
        <f>RTD("rtdtrading.rtdserver",, "T&amp;T0", "AVD", 385)</f>
        <v>-</v>
      </c>
      <c r="F388" s="1" t="str">
        <f>RTD("rtdtrading.rtdserver",, "T&amp;T0", "AGR", 385)</f>
        <v>-</v>
      </c>
      <c r="G388" s="1" t="str">
        <f>RTD("rtdtrading.rtdserver",, "T&amp;T0", "AGAG", 385)</f>
        <v>-</v>
      </c>
    </row>
    <row r="389" spans="1:7" x14ac:dyDescent="0.25">
      <c r="A389" s="1" t="str">
        <f>RTD("rtdtrading.rtdserver",, "T&amp;T0", "DAT", 386)</f>
        <v>-</v>
      </c>
      <c r="B389" s="1" t="str">
        <f>RTD("rtdtrading.rtdserver",, "T&amp;T0", "ACP", 386)</f>
        <v>-</v>
      </c>
      <c r="C389" s="1">
        <f>RTD("rtdtrading.rtdserver",, "T&amp;T0", "PRE", 386)</f>
        <v>0</v>
      </c>
      <c r="D389" s="1">
        <f>RTD("rtdtrading.rtdserver",, "T&amp;T0", "QUL", 386)</f>
        <v>0</v>
      </c>
      <c r="E389" s="1" t="str">
        <f>RTD("rtdtrading.rtdserver",, "T&amp;T0", "AVD", 386)</f>
        <v>-</v>
      </c>
      <c r="F389" s="1" t="str">
        <f>RTD("rtdtrading.rtdserver",, "T&amp;T0", "AGR", 386)</f>
        <v>-</v>
      </c>
      <c r="G389" s="1" t="str">
        <f>RTD("rtdtrading.rtdserver",, "T&amp;T0", "AGAG", 386)</f>
        <v>-</v>
      </c>
    </row>
    <row r="390" spans="1:7" x14ac:dyDescent="0.25">
      <c r="A390" s="1" t="str">
        <f>RTD("rtdtrading.rtdserver",, "T&amp;T0", "DAT", 387)</f>
        <v>-</v>
      </c>
      <c r="B390" s="1" t="str">
        <f>RTD("rtdtrading.rtdserver",, "T&amp;T0", "ACP", 387)</f>
        <v>-</v>
      </c>
      <c r="C390" s="1">
        <f>RTD("rtdtrading.rtdserver",, "T&amp;T0", "PRE", 387)</f>
        <v>0</v>
      </c>
      <c r="D390" s="1">
        <f>RTD("rtdtrading.rtdserver",, "T&amp;T0", "QUL", 387)</f>
        <v>0</v>
      </c>
      <c r="E390" s="1" t="str">
        <f>RTD("rtdtrading.rtdserver",, "T&amp;T0", "AVD", 387)</f>
        <v>-</v>
      </c>
      <c r="F390" s="1" t="str">
        <f>RTD("rtdtrading.rtdserver",, "T&amp;T0", "AGR", 387)</f>
        <v>-</v>
      </c>
      <c r="G390" s="1" t="str">
        <f>RTD("rtdtrading.rtdserver",, "T&amp;T0", "AGAG", 387)</f>
        <v>-</v>
      </c>
    </row>
    <row r="391" spans="1:7" x14ac:dyDescent="0.25">
      <c r="A391" s="1" t="str">
        <f>RTD("rtdtrading.rtdserver",, "T&amp;T0", "DAT", 388)</f>
        <v>-</v>
      </c>
      <c r="B391" s="1" t="str">
        <f>RTD("rtdtrading.rtdserver",, "T&amp;T0", "ACP", 388)</f>
        <v>-</v>
      </c>
      <c r="C391" s="1">
        <f>RTD("rtdtrading.rtdserver",, "T&amp;T0", "PRE", 388)</f>
        <v>0</v>
      </c>
      <c r="D391" s="1">
        <f>RTD("rtdtrading.rtdserver",, "T&amp;T0", "QUL", 388)</f>
        <v>0</v>
      </c>
      <c r="E391" s="1" t="str">
        <f>RTD("rtdtrading.rtdserver",, "T&amp;T0", "AVD", 388)</f>
        <v>-</v>
      </c>
      <c r="F391" s="1" t="str">
        <f>RTD("rtdtrading.rtdserver",, "T&amp;T0", "AGR", 388)</f>
        <v>-</v>
      </c>
      <c r="G391" s="1" t="str">
        <f>RTD("rtdtrading.rtdserver",, "T&amp;T0", "AGAG", 388)</f>
        <v>-</v>
      </c>
    </row>
    <row r="392" spans="1:7" x14ac:dyDescent="0.25">
      <c r="A392" s="1" t="str">
        <f>RTD("rtdtrading.rtdserver",, "T&amp;T0", "DAT", 389)</f>
        <v>-</v>
      </c>
      <c r="B392" s="1" t="str">
        <f>RTD("rtdtrading.rtdserver",, "T&amp;T0", "ACP", 389)</f>
        <v>-</v>
      </c>
      <c r="C392" s="1">
        <f>RTD("rtdtrading.rtdserver",, "T&amp;T0", "PRE", 389)</f>
        <v>0</v>
      </c>
      <c r="D392" s="1">
        <f>RTD("rtdtrading.rtdserver",, "T&amp;T0", "QUL", 389)</f>
        <v>0</v>
      </c>
      <c r="E392" s="1" t="str">
        <f>RTD("rtdtrading.rtdserver",, "T&amp;T0", "AVD", 389)</f>
        <v>-</v>
      </c>
      <c r="F392" s="1" t="str">
        <f>RTD("rtdtrading.rtdserver",, "T&amp;T0", "AGR", 389)</f>
        <v>-</v>
      </c>
      <c r="G392" s="1" t="str">
        <f>RTD("rtdtrading.rtdserver",, "T&amp;T0", "AGAG", 389)</f>
        <v>-</v>
      </c>
    </row>
    <row r="393" spans="1:7" x14ac:dyDescent="0.25">
      <c r="A393" s="1" t="str">
        <f>RTD("rtdtrading.rtdserver",, "T&amp;T0", "DAT", 390)</f>
        <v>-</v>
      </c>
      <c r="B393" s="1" t="str">
        <f>RTD("rtdtrading.rtdserver",, "T&amp;T0", "ACP", 390)</f>
        <v>-</v>
      </c>
      <c r="C393" s="1">
        <f>RTD("rtdtrading.rtdserver",, "T&amp;T0", "PRE", 390)</f>
        <v>0</v>
      </c>
      <c r="D393" s="1">
        <f>RTD("rtdtrading.rtdserver",, "T&amp;T0", "QUL", 390)</f>
        <v>0</v>
      </c>
      <c r="E393" s="1" t="str">
        <f>RTD("rtdtrading.rtdserver",, "T&amp;T0", "AVD", 390)</f>
        <v>-</v>
      </c>
      <c r="F393" s="1" t="str">
        <f>RTD("rtdtrading.rtdserver",, "T&amp;T0", "AGR", 390)</f>
        <v>-</v>
      </c>
      <c r="G393" s="1" t="str">
        <f>RTD("rtdtrading.rtdserver",, "T&amp;T0", "AGAG", 390)</f>
        <v>-</v>
      </c>
    </row>
    <row r="394" spans="1:7" x14ac:dyDescent="0.25">
      <c r="A394" s="1" t="str">
        <f>RTD("rtdtrading.rtdserver",, "T&amp;T0", "DAT", 391)</f>
        <v>-</v>
      </c>
      <c r="B394" s="1" t="str">
        <f>RTD("rtdtrading.rtdserver",, "T&amp;T0", "ACP", 391)</f>
        <v>-</v>
      </c>
      <c r="C394" s="1">
        <f>RTD("rtdtrading.rtdserver",, "T&amp;T0", "PRE", 391)</f>
        <v>0</v>
      </c>
      <c r="D394" s="1">
        <f>RTD("rtdtrading.rtdserver",, "T&amp;T0", "QUL", 391)</f>
        <v>0</v>
      </c>
      <c r="E394" s="1" t="str">
        <f>RTD("rtdtrading.rtdserver",, "T&amp;T0", "AVD", 391)</f>
        <v>-</v>
      </c>
      <c r="F394" s="1" t="str">
        <f>RTD("rtdtrading.rtdserver",, "T&amp;T0", "AGR", 391)</f>
        <v>-</v>
      </c>
      <c r="G394" s="1" t="str">
        <f>RTD("rtdtrading.rtdserver",, "T&amp;T0", "AGAG", 391)</f>
        <v>-</v>
      </c>
    </row>
    <row r="395" spans="1:7" x14ac:dyDescent="0.25">
      <c r="A395" s="1" t="str">
        <f>RTD("rtdtrading.rtdserver",, "T&amp;T0", "DAT", 392)</f>
        <v>-</v>
      </c>
      <c r="B395" s="1" t="str">
        <f>RTD("rtdtrading.rtdserver",, "T&amp;T0", "ACP", 392)</f>
        <v>-</v>
      </c>
      <c r="C395" s="1">
        <f>RTD("rtdtrading.rtdserver",, "T&amp;T0", "PRE", 392)</f>
        <v>0</v>
      </c>
      <c r="D395" s="1">
        <f>RTD("rtdtrading.rtdserver",, "T&amp;T0", "QUL", 392)</f>
        <v>0</v>
      </c>
      <c r="E395" s="1" t="str">
        <f>RTD("rtdtrading.rtdserver",, "T&amp;T0", "AVD", 392)</f>
        <v>-</v>
      </c>
      <c r="F395" s="1" t="str">
        <f>RTD("rtdtrading.rtdserver",, "T&amp;T0", "AGR", 392)</f>
        <v>-</v>
      </c>
      <c r="G395" s="1" t="str">
        <f>RTD("rtdtrading.rtdserver",, "T&amp;T0", "AGAG", 392)</f>
        <v>-</v>
      </c>
    </row>
    <row r="396" spans="1:7" x14ac:dyDescent="0.25">
      <c r="A396" s="1" t="str">
        <f>RTD("rtdtrading.rtdserver",, "T&amp;T0", "DAT", 393)</f>
        <v>-</v>
      </c>
      <c r="B396" s="1" t="str">
        <f>RTD("rtdtrading.rtdserver",, "T&amp;T0", "ACP", 393)</f>
        <v>-</v>
      </c>
      <c r="C396" s="1">
        <f>RTD("rtdtrading.rtdserver",, "T&amp;T0", "PRE", 393)</f>
        <v>0</v>
      </c>
      <c r="D396" s="1">
        <f>RTD("rtdtrading.rtdserver",, "T&amp;T0", "QUL", 393)</f>
        <v>0</v>
      </c>
      <c r="E396" s="1" t="str">
        <f>RTD("rtdtrading.rtdserver",, "T&amp;T0", "AVD", 393)</f>
        <v>-</v>
      </c>
      <c r="F396" s="1" t="str">
        <f>RTD("rtdtrading.rtdserver",, "T&amp;T0", "AGR", 393)</f>
        <v>-</v>
      </c>
      <c r="G396" s="1" t="str">
        <f>RTD("rtdtrading.rtdserver",, "T&amp;T0", "AGAG", 393)</f>
        <v>-</v>
      </c>
    </row>
    <row r="397" spans="1:7" x14ac:dyDescent="0.25">
      <c r="A397" s="1" t="str">
        <f>RTD("rtdtrading.rtdserver",, "T&amp;T0", "DAT", 394)</f>
        <v>-</v>
      </c>
      <c r="B397" s="1" t="str">
        <f>RTD("rtdtrading.rtdserver",, "T&amp;T0", "ACP", 394)</f>
        <v>-</v>
      </c>
      <c r="C397" s="1">
        <f>RTD("rtdtrading.rtdserver",, "T&amp;T0", "PRE", 394)</f>
        <v>0</v>
      </c>
      <c r="D397" s="1">
        <f>RTD("rtdtrading.rtdserver",, "T&amp;T0", "QUL", 394)</f>
        <v>0</v>
      </c>
      <c r="E397" s="1" t="str">
        <f>RTD("rtdtrading.rtdserver",, "T&amp;T0", "AVD", 394)</f>
        <v>-</v>
      </c>
      <c r="F397" s="1" t="str">
        <f>RTD("rtdtrading.rtdserver",, "T&amp;T0", "AGR", 394)</f>
        <v>-</v>
      </c>
      <c r="G397" s="1" t="str">
        <f>RTD("rtdtrading.rtdserver",, "T&amp;T0", "AGAG", 394)</f>
        <v>-</v>
      </c>
    </row>
    <row r="398" spans="1:7" x14ac:dyDescent="0.25">
      <c r="A398" s="1" t="str">
        <f>RTD("rtdtrading.rtdserver",, "T&amp;T0", "DAT", 395)</f>
        <v>-</v>
      </c>
      <c r="B398" s="1" t="str">
        <f>RTD("rtdtrading.rtdserver",, "T&amp;T0", "ACP", 395)</f>
        <v>-</v>
      </c>
      <c r="C398" s="1">
        <f>RTD("rtdtrading.rtdserver",, "T&amp;T0", "PRE", 395)</f>
        <v>0</v>
      </c>
      <c r="D398" s="1">
        <f>RTD("rtdtrading.rtdserver",, "T&amp;T0", "QUL", 395)</f>
        <v>0</v>
      </c>
      <c r="E398" s="1" t="str">
        <f>RTD("rtdtrading.rtdserver",, "T&amp;T0", "AVD", 395)</f>
        <v>-</v>
      </c>
      <c r="F398" s="1" t="str">
        <f>RTD("rtdtrading.rtdserver",, "T&amp;T0", "AGR", 395)</f>
        <v>-</v>
      </c>
      <c r="G398" s="1" t="str">
        <f>RTD("rtdtrading.rtdserver",, "T&amp;T0", "AGAG", 395)</f>
        <v>-</v>
      </c>
    </row>
    <row r="399" spans="1:7" x14ac:dyDescent="0.25">
      <c r="A399" s="1" t="str">
        <f>RTD("rtdtrading.rtdserver",, "T&amp;T0", "DAT", 396)</f>
        <v>-</v>
      </c>
      <c r="B399" s="1" t="str">
        <f>RTD("rtdtrading.rtdserver",, "T&amp;T0", "ACP", 396)</f>
        <v>-</v>
      </c>
      <c r="C399" s="1">
        <f>RTD("rtdtrading.rtdserver",, "T&amp;T0", "PRE", 396)</f>
        <v>0</v>
      </c>
      <c r="D399" s="1">
        <f>RTD("rtdtrading.rtdserver",, "T&amp;T0", "QUL", 396)</f>
        <v>0</v>
      </c>
      <c r="E399" s="1" t="str">
        <f>RTD("rtdtrading.rtdserver",, "T&amp;T0", "AVD", 396)</f>
        <v>-</v>
      </c>
      <c r="F399" s="1" t="str">
        <f>RTD("rtdtrading.rtdserver",, "T&amp;T0", "AGR", 396)</f>
        <v>-</v>
      </c>
      <c r="G399" s="1" t="str">
        <f>RTD("rtdtrading.rtdserver",, "T&amp;T0", "AGAG", 396)</f>
        <v>-</v>
      </c>
    </row>
    <row r="400" spans="1:7" x14ac:dyDescent="0.25">
      <c r="A400" s="1" t="str">
        <f>RTD("rtdtrading.rtdserver",, "T&amp;T0", "DAT", 397)</f>
        <v>-</v>
      </c>
      <c r="B400" s="1" t="str">
        <f>RTD("rtdtrading.rtdserver",, "T&amp;T0", "ACP", 397)</f>
        <v>-</v>
      </c>
      <c r="C400" s="1">
        <f>RTD("rtdtrading.rtdserver",, "T&amp;T0", "PRE", 397)</f>
        <v>0</v>
      </c>
      <c r="D400" s="1">
        <f>RTD("rtdtrading.rtdserver",, "T&amp;T0", "QUL", 397)</f>
        <v>0</v>
      </c>
      <c r="E400" s="1" t="str">
        <f>RTD("rtdtrading.rtdserver",, "T&amp;T0", "AVD", 397)</f>
        <v>-</v>
      </c>
      <c r="F400" s="1" t="str">
        <f>RTD("rtdtrading.rtdserver",, "T&amp;T0", "AGR", 397)</f>
        <v>-</v>
      </c>
      <c r="G400" s="1" t="str">
        <f>RTD("rtdtrading.rtdserver",, "T&amp;T0", "AGAG", 397)</f>
        <v>-</v>
      </c>
    </row>
    <row r="401" spans="1:7" x14ac:dyDescent="0.25">
      <c r="A401" s="1" t="str">
        <f>RTD("rtdtrading.rtdserver",, "T&amp;T0", "DAT", 398)</f>
        <v>-</v>
      </c>
      <c r="B401" s="1" t="str">
        <f>RTD("rtdtrading.rtdserver",, "T&amp;T0", "ACP", 398)</f>
        <v>-</v>
      </c>
      <c r="C401" s="1">
        <f>RTD("rtdtrading.rtdserver",, "T&amp;T0", "PRE", 398)</f>
        <v>0</v>
      </c>
      <c r="D401" s="1">
        <f>RTD("rtdtrading.rtdserver",, "T&amp;T0", "QUL", 398)</f>
        <v>0</v>
      </c>
      <c r="E401" s="1" t="str">
        <f>RTD("rtdtrading.rtdserver",, "T&amp;T0", "AVD", 398)</f>
        <v>-</v>
      </c>
      <c r="F401" s="1" t="str">
        <f>RTD("rtdtrading.rtdserver",, "T&amp;T0", "AGR", 398)</f>
        <v>-</v>
      </c>
      <c r="G401" s="1" t="str">
        <f>RTD("rtdtrading.rtdserver",, "T&amp;T0", "AGAG", 398)</f>
        <v>-</v>
      </c>
    </row>
    <row r="402" spans="1:7" x14ac:dyDescent="0.25">
      <c r="A402" s="1" t="str">
        <f>RTD("rtdtrading.rtdserver",, "T&amp;T0", "DAT", 399)</f>
        <v>-</v>
      </c>
      <c r="B402" s="1" t="str">
        <f>RTD("rtdtrading.rtdserver",, "T&amp;T0", "ACP", 399)</f>
        <v>-</v>
      </c>
      <c r="C402" s="1">
        <f>RTD("rtdtrading.rtdserver",, "T&amp;T0", "PRE", 399)</f>
        <v>0</v>
      </c>
      <c r="D402" s="1">
        <f>RTD("rtdtrading.rtdserver",, "T&amp;T0", "QUL", 399)</f>
        <v>0</v>
      </c>
      <c r="E402" s="1" t="str">
        <f>RTD("rtdtrading.rtdserver",, "T&amp;T0", "AVD", 399)</f>
        <v>-</v>
      </c>
      <c r="F402" s="1" t="str">
        <f>RTD("rtdtrading.rtdserver",, "T&amp;T0", "AGR", 399)</f>
        <v>-</v>
      </c>
      <c r="G402" s="1" t="str">
        <f>RTD("rtdtrading.rtdserver",, "T&amp;T0", "AGAG", 399)</f>
        <v>-</v>
      </c>
    </row>
    <row r="403" spans="1:7" x14ac:dyDescent="0.25">
      <c r="A403" s="1" t="str">
        <f>RTD("rtdtrading.rtdserver",, "T&amp;T0", "DAT", 400)</f>
        <v>-</v>
      </c>
      <c r="B403" s="1" t="str">
        <f>RTD("rtdtrading.rtdserver",, "T&amp;T0", "ACP", 400)</f>
        <v>-</v>
      </c>
      <c r="C403" s="1">
        <f>RTD("rtdtrading.rtdserver",, "T&amp;T0", "PRE", 400)</f>
        <v>0</v>
      </c>
      <c r="D403" s="1">
        <f>RTD("rtdtrading.rtdserver",, "T&amp;T0", "QUL", 400)</f>
        <v>0</v>
      </c>
      <c r="E403" s="1" t="str">
        <f>RTD("rtdtrading.rtdserver",, "T&amp;T0", "AVD", 400)</f>
        <v>-</v>
      </c>
      <c r="F403" s="1" t="str">
        <f>RTD("rtdtrading.rtdserver",, "T&amp;T0", "AGR", 400)</f>
        <v>-</v>
      </c>
      <c r="G403" s="1" t="str">
        <f>RTD("rtdtrading.rtdserver",, "T&amp;T0", "AGAG", 400)</f>
        <v>-</v>
      </c>
    </row>
    <row r="404" spans="1:7" x14ac:dyDescent="0.25">
      <c r="A404" s="1" t="str">
        <f>RTD("rtdtrading.rtdserver",, "T&amp;T0", "DAT", 401)</f>
        <v>-</v>
      </c>
      <c r="B404" s="1" t="str">
        <f>RTD("rtdtrading.rtdserver",, "T&amp;T0", "ACP", 401)</f>
        <v>-</v>
      </c>
      <c r="C404" s="1">
        <f>RTD("rtdtrading.rtdserver",, "T&amp;T0", "PRE", 401)</f>
        <v>0</v>
      </c>
      <c r="D404" s="1">
        <f>RTD("rtdtrading.rtdserver",, "T&amp;T0", "QUL", 401)</f>
        <v>0</v>
      </c>
      <c r="E404" s="1" t="str">
        <f>RTD("rtdtrading.rtdserver",, "T&amp;T0", "AVD", 401)</f>
        <v>-</v>
      </c>
      <c r="F404" s="1" t="str">
        <f>RTD("rtdtrading.rtdserver",, "T&amp;T0", "AGR", 401)</f>
        <v>-</v>
      </c>
      <c r="G404" s="1" t="str">
        <f>RTD("rtdtrading.rtdserver",, "T&amp;T0", "AGAG", 401)</f>
        <v>-</v>
      </c>
    </row>
    <row r="405" spans="1:7" x14ac:dyDescent="0.25">
      <c r="A405" s="1" t="str">
        <f>RTD("rtdtrading.rtdserver",, "T&amp;T0", "DAT", 402)</f>
        <v>-</v>
      </c>
      <c r="B405" s="1" t="str">
        <f>RTD("rtdtrading.rtdserver",, "T&amp;T0", "ACP", 402)</f>
        <v>-</v>
      </c>
      <c r="C405" s="1">
        <f>RTD("rtdtrading.rtdserver",, "T&amp;T0", "PRE", 402)</f>
        <v>0</v>
      </c>
      <c r="D405" s="1">
        <f>RTD("rtdtrading.rtdserver",, "T&amp;T0", "QUL", 402)</f>
        <v>0</v>
      </c>
      <c r="E405" s="1" t="str">
        <f>RTD("rtdtrading.rtdserver",, "T&amp;T0", "AVD", 402)</f>
        <v>-</v>
      </c>
      <c r="F405" s="1" t="str">
        <f>RTD("rtdtrading.rtdserver",, "T&amp;T0", "AGR", 402)</f>
        <v>-</v>
      </c>
      <c r="G405" s="1" t="str">
        <f>RTD("rtdtrading.rtdserver",, "T&amp;T0", "AGAG", 402)</f>
        <v>-</v>
      </c>
    </row>
    <row r="406" spans="1:7" x14ac:dyDescent="0.25">
      <c r="A406" s="1" t="str">
        <f>RTD("rtdtrading.rtdserver",, "T&amp;T0", "DAT", 403)</f>
        <v>-</v>
      </c>
      <c r="B406" s="1" t="str">
        <f>RTD("rtdtrading.rtdserver",, "T&amp;T0", "ACP", 403)</f>
        <v>-</v>
      </c>
      <c r="C406" s="1">
        <f>RTD("rtdtrading.rtdserver",, "T&amp;T0", "PRE", 403)</f>
        <v>0</v>
      </c>
      <c r="D406" s="1">
        <f>RTD("rtdtrading.rtdserver",, "T&amp;T0", "QUL", 403)</f>
        <v>0</v>
      </c>
      <c r="E406" s="1" t="str">
        <f>RTD("rtdtrading.rtdserver",, "T&amp;T0", "AVD", 403)</f>
        <v>-</v>
      </c>
      <c r="F406" s="1" t="str">
        <f>RTD("rtdtrading.rtdserver",, "T&amp;T0", "AGR", 403)</f>
        <v>-</v>
      </c>
      <c r="G406" s="1" t="str">
        <f>RTD("rtdtrading.rtdserver",, "T&amp;T0", "AGAG", 403)</f>
        <v>-</v>
      </c>
    </row>
    <row r="407" spans="1:7" x14ac:dyDescent="0.25">
      <c r="A407" s="1" t="str">
        <f>RTD("rtdtrading.rtdserver",, "T&amp;T0", "DAT", 404)</f>
        <v>-</v>
      </c>
      <c r="B407" s="1" t="str">
        <f>RTD("rtdtrading.rtdserver",, "T&amp;T0", "ACP", 404)</f>
        <v>-</v>
      </c>
      <c r="C407" s="1">
        <f>RTD("rtdtrading.rtdserver",, "T&amp;T0", "PRE", 404)</f>
        <v>0</v>
      </c>
      <c r="D407" s="1">
        <f>RTD("rtdtrading.rtdserver",, "T&amp;T0", "QUL", 404)</f>
        <v>0</v>
      </c>
      <c r="E407" s="1" t="str">
        <f>RTD("rtdtrading.rtdserver",, "T&amp;T0", "AVD", 404)</f>
        <v>-</v>
      </c>
      <c r="F407" s="1" t="str">
        <f>RTD("rtdtrading.rtdserver",, "T&amp;T0", "AGR", 404)</f>
        <v>-</v>
      </c>
      <c r="G407" s="1" t="str">
        <f>RTD("rtdtrading.rtdserver",, "T&amp;T0", "AGAG", 404)</f>
        <v>-</v>
      </c>
    </row>
    <row r="408" spans="1:7" x14ac:dyDescent="0.25">
      <c r="A408" s="1" t="str">
        <f>RTD("rtdtrading.rtdserver",, "T&amp;T0", "DAT", 405)</f>
        <v>-</v>
      </c>
      <c r="B408" s="1" t="str">
        <f>RTD("rtdtrading.rtdserver",, "T&amp;T0", "ACP", 405)</f>
        <v>-</v>
      </c>
      <c r="C408" s="1">
        <f>RTD("rtdtrading.rtdserver",, "T&amp;T0", "PRE", 405)</f>
        <v>0</v>
      </c>
      <c r="D408" s="1">
        <f>RTD("rtdtrading.rtdserver",, "T&amp;T0", "QUL", 405)</f>
        <v>0</v>
      </c>
      <c r="E408" s="1" t="str">
        <f>RTD("rtdtrading.rtdserver",, "T&amp;T0", "AVD", 405)</f>
        <v>-</v>
      </c>
      <c r="F408" s="1" t="str">
        <f>RTD("rtdtrading.rtdserver",, "T&amp;T0", "AGR", 405)</f>
        <v>-</v>
      </c>
      <c r="G408" s="1" t="str">
        <f>RTD("rtdtrading.rtdserver",, "T&amp;T0", "AGAG", 405)</f>
        <v>-</v>
      </c>
    </row>
    <row r="409" spans="1:7" x14ac:dyDescent="0.25">
      <c r="A409" s="1" t="str">
        <f>RTD("rtdtrading.rtdserver",, "T&amp;T0", "DAT", 406)</f>
        <v>-</v>
      </c>
      <c r="B409" s="1" t="str">
        <f>RTD("rtdtrading.rtdserver",, "T&amp;T0", "ACP", 406)</f>
        <v>-</v>
      </c>
      <c r="C409" s="1">
        <f>RTD("rtdtrading.rtdserver",, "T&amp;T0", "PRE", 406)</f>
        <v>0</v>
      </c>
      <c r="D409" s="1">
        <f>RTD("rtdtrading.rtdserver",, "T&amp;T0", "QUL", 406)</f>
        <v>0</v>
      </c>
      <c r="E409" s="1" t="str">
        <f>RTD("rtdtrading.rtdserver",, "T&amp;T0", "AVD", 406)</f>
        <v>-</v>
      </c>
      <c r="F409" s="1" t="str">
        <f>RTD("rtdtrading.rtdserver",, "T&amp;T0", "AGR", 406)</f>
        <v>-</v>
      </c>
      <c r="G409" s="1" t="str">
        <f>RTD("rtdtrading.rtdserver",, "T&amp;T0", "AGAG", 406)</f>
        <v>-</v>
      </c>
    </row>
    <row r="410" spans="1:7" x14ac:dyDescent="0.25">
      <c r="A410" s="1" t="str">
        <f>RTD("rtdtrading.rtdserver",, "T&amp;T0", "DAT", 407)</f>
        <v>-</v>
      </c>
      <c r="B410" s="1" t="str">
        <f>RTD("rtdtrading.rtdserver",, "T&amp;T0", "ACP", 407)</f>
        <v>-</v>
      </c>
      <c r="C410" s="1">
        <f>RTD("rtdtrading.rtdserver",, "T&amp;T0", "PRE", 407)</f>
        <v>0</v>
      </c>
      <c r="D410" s="1">
        <f>RTD("rtdtrading.rtdserver",, "T&amp;T0", "QUL", 407)</f>
        <v>0</v>
      </c>
      <c r="E410" s="1" t="str">
        <f>RTD("rtdtrading.rtdserver",, "T&amp;T0", "AVD", 407)</f>
        <v>-</v>
      </c>
      <c r="F410" s="1" t="str">
        <f>RTD("rtdtrading.rtdserver",, "T&amp;T0", "AGR", 407)</f>
        <v>-</v>
      </c>
      <c r="G410" s="1" t="str">
        <f>RTD("rtdtrading.rtdserver",, "T&amp;T0", "AGAG", 407)</f>
        <v>-</v>
      </c>
    </row>
    <row r="411" spans="1:7" x14ac:dyDescent="0.25">
      <c r="A411" s="1" t="str">
        <f>RTD("rtdtrading.rtdserver",, "T&amp;T0", "DAT", 408)</f>
        <v>-</v>
      </c>
      <c r="B411" s="1" t="str">
        <f>RTD("rtdtrading.rtdserver",, "T&amp;T0", "ACP", 408)</f>
        <v>-</v>
      </c>
      <c r="C411" s="1">
        <f>RTD("rtdtrading.rtdserver",, "T&amp;T0", "PRE", 408)</f>
        <v>0</v>
      </c>
      <c r="D411" s="1">
        <f>RTD("rtdtrading.rtdserver",, "T&amp;T0", "QUL", 408)</f>
        <v>0</v>
      </c>
      <c r="E411" s="1" t="str">
        <f>RTD("rtdtrading.rtdserver",, "T&amp;T0", "AVD", 408)</f>
        <v>-</v>
      </c>
      <c r="F411" s="1" t="str">
        <f>RTD("rtdtrading.rtdserver",, "T&amp;T0", "AGR", 408)</f>
        <v>-</v>
      </c>
      <c r="G411" s="1" t="str">
        <f>RTD("rtdtrading.rtdserver",, "T&amp;T0", "AGAG", 408)</f>
        <v>-</v>
      </c>
    </row>
    <row r="412" spans="1:7" x14ac:dyDescent="0.25">
      <c r="A412" s="1" t="str">
        <f>RTD("rtdtrading.rtdserver",, "T&amp;T0", "DAT", 409)</f>
        <v>-</v>
      </c>
      <c r="B412" s="1" t="str">
        <f>RTD("rtdtrading.rtdserver",, "T&amp;T0", "ACP", 409)</f>
        <v>-</v>
      </c>
      <c r="C412" s="1">
        <f>RTD("rtdtrading.rtdserver",, "T&amp;T0", "PRE", 409)</f>
        <v>0</v>
      </c>
      <c r="D412" s="1">
        <f>RTD("rtdtrading.rtdserver",, "T&amp;T0", "QUL", 409)</f>
        <v>0</v>
      </c>
      <c r="E412" s="1" t="str">
        <f>RTD("rtdtrading.rtdserver",, "T&amp;T0", "AVD", 409)</f>
        <v>-</v>
      </c>
      <c r="F412" s="1" t="str">
        <f>RTD("rtdtrading.rtdserver",, "T&amp;T0", "AGR", 409)</f>
        <v>-</v>
      </c>
      <c r="G412" s="1" t="str">
        <f>RTD("rtdtrading.rtdserver",, "T&amp;T0", "AGAG", 409)</f>
        <v>-</v>
      </c>
    </row>
    <row r="413" spans="1:7" x14ac:dyDescent="0.25">
      <c r="A413" s="1" t="str">
        <f>RTD("rtdtrading.rtdserver",, "T&amp;T0", "DAT", 410)</f>
        <v>-</v>
      </c>
      <c r="B413" s="1" t="str">
        <f>RTD("rtdtrading.rtdserver",, "T&amp;T0", "ACP", 410)</f>
        <v>-</v>
      </c>
      <c r="C413" s="1">
        <f>RTD("rtdtrading.rtdserver",, "T&amp;T0", "PRE", 410)</f>
        <v>0</v>
      </c>
      <c r="D413" s="1">
        <f>RTD("rtdtrading.rtdserver",, "T&amp;T0", "QUL", 410)</f>
        <v>0</v>
      </c>
      <c r="E413" s="1" t="str">
        <f>RTD("rtdtrading.rtdserver",, "T&amp;T0", "AVD", 410)</f>
        <v>-</v>
      </c>
      <c r="F413" s="1" t="str">
        <f>RTD("rtdtrading.rtdserver",, "T&amp;T0", "AGR", 410)</f>
        <v>-</v>
      </c>
      <c r="G413" s="1" t="str">
        <f>RTD("rtdtrading.rtdserver",, "T&amp;T0", "AGAG", 410)</f>
        <v>-</v>
      </c>
    </row>
    <row r="414" spans="1:7" x14ac:dyDescent="0.25">
      <c r="A414" s="1" t="str">
        <f>RTD("rtdtrading.rtdserver",, "T&amp;T0", "DAT", 411)</f>
        <v>-</v>
      </c>
      <c r="B414" s="1" t="str">
        <f>RTD("rtdtrading.rtdserver",, "T&amp;T0", "ACP", 411)</f>
        <v>-</v>
      </c>
      <c r="C414" s="1">
        <f>RTD("rtdtrading.rtdserver",, "T&amp;T0", "PRE", 411)</f>
        <v>0</v>
      </c>
      <c r="D414" s="1">
        <f>RTD("rtdtrading.rtdserver",, "T&amp;T0", "QUL", 411)</f>
        <v>0</v>
      </c>
      <c r="E414" s="1" t="str">
        <f>RTD("rtdtrading.rtdserver",, "T&amp;T0", "AVD", 411)</f>
        <v>-</v>
      </c>
      <c r="F414" s="1" t="str">
        <f>RTD("rtdtrading.rtdserver",, "T&amp;T0", "AGR", 411)</f>
        <v>-</v>
      </c>
      <c r="G414" s="1" t="str">
        <f>RTD("rtdtrading.rtdserver",, "T&amp;T0", "AGAG", 411)</f>
        <v>-</v>
      </c>
    </row>
    <row r="415" spans="1:7" x14ac:dyDescent="0.25">
      <c r="A415" s="1" t="str">
        <f>RTD("rtdtrading.rtdserver",, "T&amp;T0", "DAT", 412)</f>
        <v>-</v>
      </c>
      <c r="B415" s="1" t="str">
        <f>RTD("rtdtrading.rtdserver",, "T&amp;T0", "ACP", 412)</f>
        <v>-</v>
      </c>
      <c r="C415" s="1">
        <f>RTD("rtdtrading.rtdserver",, "T&amp;T0", "PRE", 412)</f>
        <v>0</v>
      </c>
      <c r="D415" s="1">
        <f>RTD("rtdtrading.rtdserver",, "T&amp;T0", "QUL", 412)</f>
        <v>0</v>
      </c>
      <c r="E415" s="1" t="str">
        <f>RTD("rtdtrading.rtdserver",, "T&amp;T0", "AVD", 412)</f>
        <v>-</v>
      </c>
      <c r="F415" s="1" t="str">
        <f>RTD("rtdtrading.rtdserver",, "T&amp;T0", "AGR", 412)</f>
        <v>-</v>
      </c>
      <c r="G415" s="1" t="str">
        <f>RTD("rtdtrading.rtdserver",, "T&amp;T0", "AGAG", 412)</f>
        <v>-</v>
      </c>
    </row>
    <row r="416" spans="1:7" x14ac:dyDescent="0.25">
      <c r="A416" s="1" t="str">
        <f>RTD("rtdtrading.rtdserver",, "T&amp;T0", "DAT", 413)</f>
        <v>-</v>
      </c>
      <c r="B416" s="1" t="str">
        <f>RTD("rtdtrading.rtdserver",, "T&amp;T0", "ACP", 413)</f>
        <v>-</v>
      </c>
      <c r="C416" s="1">
        <f>RTD("rtdtrading.rtdserver",, "T&amp;T0", "PRE", 413)</f>
        <v>0</v>
      </c>
      <c r="D416" s="1">
        <f>RTD("rtdtrading.rtdserver",, "T&amp;T0", "QUL", 413)</f>
        <v>0</v>
      </c>
      <c r="E416" s="1" t="str">
        <f>RTD("rtdtrading.rtdserver",, "T&amp;T0", "AVD", 413)</f>
        <v>-</v>
      </c>
      <c r="F416" s="1" t="str">
        <f>RTD("rtdtrading.rtdserver",, "T&amp;T0", "AGR", 413)</f>
        <v>-</v>
      </c>
      <c r="G416" s="1" t="str">
        <f>RTD("rtdtrading.rtdserver",, "T&amp;T0", "AGAG", 413)</f>
        <v>-</v>
      </c>
    </row>
    <row r="417" spans="1:7" x14ac:dyDescent="0.25">
      <c r="A417" s="1" t="str">
        <f>RTD("rtdtrading.rtdserver",, "T&amp;T0", "DAT", 414)</f>
        <v>-</v>
      </c>
      <c r="B417" s="1" t="str">
        <f>RTD("rtdtrading.rtdserver",, "T&amp;T0", "ACP", 414)</f>
        <v>-</v>
      </c>
      <c r="C417" s="1">
        <f>RTD("rtdtrading.rtdserver",, "T&amp;T0", "PRE", 414)</f>
        <v>0</v>
      </c>
      <c r="D417" s="1">
        <f>RTD("rtdtrading.rtdserver",, "T&amp;T0", "QUL", 414)</f>
        <v>0</v>
      </c>
      <c r="E417" s="1" t="str">
        <f>RTD("rtdtrading.rtdserver",, "T&amp;T0", "AVD", 414)</f>
        <v>-</v>
      </c>
      <c r="F417" s="1" t="str">
        <f>RTD("rtdtrading.rtdserver",, "T&amp;T0", "AGR", 414)</f>
        <v>-</v>
      </c>
      <c r="G417" s="1" t="str">
        <f>RTD("rtdtrading.rtdserver",, "T&amp;T0", "AGAG", 414)</f>
        <v>-</v>
      </c>
    </row>
    <row r="418" spans="1:7" x14ac:dyDescent="0.25">
      <c r="A418" s="1" t="str">
        <f>RTD("rtdtrading.rtdserver",, "T&amp;T0", "DAT", 415)</f>
        <v>-</v>
      </c>
      <c r="B418" s="1" t="str">
        <f>RTD("rtdtrading.rtdserver",, "T&amp;T0", "ACP", 415)</f>
        <v>-</v>
      </c>
      <c r="C418" s="1">
        <f>RTD("rtdtrading.rtdserver",, "T&amp;T0", "PRE", 415)</f>
        <v>0</v>
      </c>
      <c r="D418" s="1">
        <f>RTD("rtdtrading.rtdserver",, "T&amp;T0", "QUL", 415)</f>
        <v>0</v>
      </c>
      <c r="E418" s="1" t="str">
        <f>RTD("rtdtrading.rtdserver",, "T&amp;T0", "AVD", 415)</f>
        <v>-</v>
      </c>
      <c r="F418" s="1" t="str">
        <f>RTD("rtdtrading.rtdserver",, "T&amp;T0", "AGR", 415)</f>
        <v>-</v>
      </c>
      <c r="G418" s="1" t="str">
        <f>RTD("rtdtrading.rtdserver",, "T&amp;T0", "AGAG", 415)</f>
        <v>-</v>
      </c>
    </row>
    <row r="419" spans="1:7" x14ac:dyDescent="0.25">
      <c r="A419" s="1" t="str">
        <f>RTD("rtdtrading.rtdserver",, "T&amp;T0", "DAT", 416)</f>
        <v>-</v>
      </c>
      <c r="B419" s="1" t="str">
        <f>RTD("rtdtrading.rtdserver",, "T&amp;T0", "ACP", 416)</f>
        <v>-</v>
      </c>
      <c r="C419" s="1">
        <f>RTD("rtdtrading.rtdserver",, "T&amp;T0", "PRE", 416)</f>
        <v>0</v>
      </c>
      <c r="D419" s="1">
        <f>RTD("rtdtrading.rtdserver",, "T&amp;T0", "QUL", 416)</f>
        <v>0</v>
      </c>
      <c r="E419" s="1" t="str">
        <f>RTD("rtdtrading.rtdserver",, "T&amp;T0", "AVD", 416)</f>
        <v>-</v>
      </c>
      <c r="F419" s="1" t="str">
        <f>RTD("rtdtrading.rtdserver",, "T&amp;T0", "AGR", 416)</f>
        <v>-</v>
      </c>
      <c r="G419" s="1" t="str">
        <f>RTD("rtdtrading.rtdserver",, "T&amp;T0", "AGAG", 416)</f>
        <v>-</v>
      </c>
    </row>
    <row r="420" spans="1:7" x14ac:dyDescent="0.25">
      <c r="A420" s="1" t="str">
        <f>RTD("rtdtrading.rtdserver",, "T&amp;T0", "DAT", 417)</f>
        <v>-</v>
      </c>
      <c r="B420" s="1" t="str">
        <f>RTD("rtdtrading.rtdserver",, "T&amp;T0", "ACP", 417)</f>
        <v>-</v>
      </c>
      <c r="C420" s="1">
        <f>RTD("rtdtrading.rtdserver",, "T&amp;T0", "PRE", 417)</f>
        <v>0</v>
      </c>
      <c r="D420" s="1">
        <f>RTD("rtdtrading.rtdserver",, "T&amp;T0", "QUL", 417)</f>
        <v>0</v>
      </c>
      <c r="E420" s="1" t="str">
        <f>RTD("rtdtrading.rtdserver",, "T&amp;T0", "AVD", 417)</f>
        <v>-</v>
      </c>
      <c r="F420" s="1" t="str">
        <f>RTD("rtdtrading.rtdserver",, "T&amp;T0", "AGR", 417)</f>
        <v>-</v>
      </c>
      <c r="G420" s="1" t="str">
        <f>RTD("rtdtrading.rtdserver",, "T&amp;T0", "AGAG", 417)</f>
        <v>-</v>
      </c>
    </row>
    <row r="421" spans="1:7" x14ac:dyDescent="0.25">
      <c r="A421" s="1" t="str">
        <f>RTD("rtdtrading.rtdserver",, "T&amp;T0", "DAT", 418)</f>
        <v>-</v>
      </c>
      <c r="B421" s="1" t="str">
        <f>RTD("rtdtrading.rtdserver",, "T&amp;T0", "ACP", 418)</f>
        <v>-</v>
      </c>
      <c r="C421" s="1">
        <f>RTD("rtdtrading.rtdserver",, "T&amp;T0", "PRE", 418)</f>
        <v>0</v>
      </c>
      <c r="D421" s="1">
        <f>RTD("rtdtrading.rtdserver",, "T&amp;T0", "QUL", 418)</f>
        <v>0</v>
      </c>
      <c r="E421" s="1" t="str">
        <f>RTD("rtdtrading.rtdserver",, "T&amp;T0", "AVD", 418)</f>
        <v>-</v>
      </c>
      <c r="F421" s="1" t="str">
        <f>RTD("rtdtrading.rtdserver",, "T&amp;T0", "AGR", 418)</f>
        <v>-</v>
      </c>
      <c r="G421" s="1" t="str">
        <f>RTD("rtdtrading.rtdserver",, "T&amp;T0", "AGAG", 418)</f>
        <v>-</v>
      </c>
    </row>
    <row r="422" spans="1:7" x14ac:dyDescent="0.25">
      <c r="A422" s="1" t="str">
        <f>RTD("rtdtrading.rtdserver",, "T&amp;T0", "DAT", 419)</f>
        <v>-</v>
      </c>
      <c r="B422" s="1" t="str">
        <f>RTD("rtdtrading.rtdserver",, "T&amp;T0", "ACP", 419)</f>
        <v>-</v>
      </c>
      <c r="C422" s="1">
        <f>RTD("rtdtrading.rtdserver",, "T&amp;T0", "PRE", 419)</f>
        <v>0</v>
      </c>
      <c r="D422" s="1">
        <f>RTD("rtdtrading.rtdserver",, "T&amp;T0", "QUL", 419)</f>
        <v>0</v>
      </c>
      <c r="E422" s="1" t="str">
        <f>RTD("rtdtrading.rtdserver",, "T&amp;T0", "AVD", 419)</f>
        <v>-</v>
      </c>
      <c r="F422" s="1" t="str">
        <f>RTD("rtdtrading.rtdserver",, "T&amp;T0", "AGR", 419)</f>
        <v>-</v>
      </c>
      <c r="G422" s="1" t="str">
        <f>RTD("rtdtrading.rtdserver",, "T&amp;T0", "AGAG", 419)</f>
        <v>-</v>
      </c>
    </row>
    <row r="423" spans="1:7" x14ac:dyDescent="0.25">
      <c r="A423" s="1" t="str">
        <f>RTD("rtdtrading.rtdserver",, "T&amp;T0", "DAT", 420)</f>
        <v>-</v>
      </c>
      <c r="B423" s="1" t="str">
        <f>RTD("rtdtrading.rtdserver",, "T&amp;T0", "ACP", 420)</f>
        <v>-</v>
      </c>
      <c r="C423" s="1">
        <f>RTD("rtdtrading.rtdserver",, "T&amp;T0", "PRE", 420)</f>
        <v>0</v>
      </c>
      <c r="D423" s="1">
        <f>RTD("rtdtrading.rtdserver",, "T&amp;T0", "QUL", 420)</f>
        <v>0</v>
      </c>
      <c r="E423" s="1" t="str">
        <f>RTD("rtdtrading.rtdserver",, "T&amp;T0", "AVD", 420)</f>
        <v>-</v>
      </c>
      <c r="F423" s="1" t="str">
        <f>RTD("rtdtrading.rtdserver",, "T&amp;T0", "AGR", 420)</f>
        <v>-</v>
      </c>
      <c r="G423" s="1" t="str">
        <f>RTD("rtdtrading.rtdserver",, "T&amp;T0", "AGAG", 420)</f>
        <v>-</v>
      </c>
    </row>
    <row r="424" spans="1:7" x14ac:dyDescent="0.25">
      <c r="A424" s="1" t="str">
        <f>RTD("rtdtrading.rtdserver",, "T&amp;T0", "DAT", 421)</f>
        <v>-</v>
      </c>
      <c r="B424" s="1" t="str">
        <f>RTD("rtdtrading.rtdserver",, "T&amp;T0", "ACP", 421)</f>
        <v>-</v>
      </c>
      <c r="C424" s="1">
        <f>RTD("rtdtrading.rtdserver",, "T&amp;T0", "PRE", 421)</f>
        <v>0</v>
      </c>
      <c r="D424" s="1">
        <f>RTD("rtdtrading.rtdserver",, "T&amp;T0", "QUL", 421)</f>
        <v>0</v>
      </c>
      <c r="E424" s="1" t="str">
        <f>RTD("rtdtrading.rtdserver",, "T&amp;T0", "AVD", 421)</f>
        <v>-</v>
      </c>
      <c r="F424" s="1" t="str">
        <f>RTD("rtdtrading.rtdserver",, "T&amp;T0", "AGR", 421)</f>
        <v>-</v>
      </c>
      <c r="G424" s="1" t="str">
        <f>RTD("rtdtrading.rtdserver",, "T&amp;T0", "AGAG", 421)</f>
        <v>-</v>
      </c>
    </row>
    <row r="425" spans="1:7" x14ac:dyDescent="0.25">
      <c r="A425" s="1" t="str">
        <f>RTD("rtdtrading.rtdserver",, "T&amp;T0", "DAT", 422)</f>
        <v>-</v>
      </c>
      <c r="B425" s="1" t="str">
        <f>RTD("rtdtrading.rtdserver",, "T&amp;T0", "ACP", 422)</f>
        <v>-</v>
      </c>
      <c r="C425" s="1">
        <f>RTD("rtdtrading.rtdserver",, "T&amp;T0", "PRE", 422)</f>
        <v>0</v>
      </c>
      <c r="D425" s="1">
        <f>RTD("rtdtrading.rtdserver",, "T&amp;T0", "QUL", 422)</f>
        <v>0</v>
      </c>
      <c r="E425" s="1" t="str">
        <f>RTD("rtdtrading.rtdserver",, "T&amp;T0", "AVD", 422)</f>
        <v>-</v>
      </c>
      <c r="F425" s="1" t="str">
        <f>RTD("rtdtrading.rtdserver",, "T&amp;T0", "AGR", 422)</f>
        <v>-</v>
      </c>
      <c r="G425" s="1" t="str">
        <f>RTD("rtdtrading.rtdserver",, "T&amp;T0", "AGAG", 422)</f>
        <v>-</v>
      </c>
    </row>
    <row r="426" spans="1:7" x14ac:dyDescent="0.25">
      <c r="A426" s="1" t="str">
        <f>RTD("rtdtrading.rtdserver",, "T&amp;T0", "DAT", 423)</f>
        <v>-</v>
      </c>
      <c r="B426" s="1" t="str">
        <f>RTD("rtdtrading.rtdserver",, "T&amp;T0", "ACP", 423)</f>
        <v>-</v>
      </c>
      <c r="C426" s="1">
        <f>RTD("rtdtrading.rtdserver",, "T&amp;T0", "PRE", 423)</f>
        <v>0</v>
      </c>
      <c r="D426" s="1">
        <f>RTD("rtdtrading.rtdserver",, "T&amp;T0", "QUL", 423)</f>
        <v>0</v>
      </c>
      <c r="E426" s="1" t="str">
        <f>RTD("rtdtrading.rtdserver",, "T&amp;T0", "AVD", 423)</f>
        <v>-</v>
      </c>
      <c r="F426" s="1" t="str">
        <f>RTD("rtdtrading.rtdserver",, "T&amp;T0", "AGR", 423)</f>
        <v>-</v>
      </c>
      <c r="G426" s="1" t="str">
        <f>RTD("rtdtrading.rtdserver",, "T&amp;T0", "AGAG", 423)</f>
        <v>-</v>
      </c>
    </row>
    <row r="427" spans="1:7" x14ac:dyDescent="0.25">
      <c r="A427" s="1" t="str">
        <f>RTD("rtdtrading.rtdserver",, "T&amp;T0", "DAT", 424)</f>
        <v>-</v>
      </c>
      <c r="B427" s="1" t="str">
        <f>RTD("rtdtrading.rtdserver",, "T&amp;T0", "ACP", 424)</f>
        <v>-</v>
      </c>
      <c r="C427" s="1">
        <f>RTD("rtdtrading.rtdserver",, "T&amp;T0", "PRE", 424)</f>
        <v>0</v>
      </c>
      <c r="D427" s="1">
        <f>RTD("rtdtrading.rtdserver",, "T&amp;T0", "QUL", 424)</f>
        <v>0</v>
      </c>
      <c r="E427" s="1" t="str">
        <f>RTD("rtdtrading.rtdserver",, "T&amp;T0", "AVD", 424)</f>
        <v>-</v>
      </c>
      <c r="F427" s="1" t="str">
        <f>RTD("rtdtrading.rtdserver",, "T&amp;T0", "AGR", 424)</f>
        <v>-</v>
      </c>
      <c r="G427" s="1" t="str">
        <f>RTD("rtdtrading.rtdserver",, "T&amp;T0", "AGAG", 424)</f>
        <v>-</v>
      </c>
    </row>
    <row r="428" spans="1:7" x14ac:dyDescent="0.25">
      <c r="A428" s="1" t="str">
        <f>RTD("rtdtrading.rtdserver",, "T&amp;T0", "DAT", 425)</f>
        <v>-</v>
      </c>
      <c r="B428" s="1" t="str">
        <f>RTD("rtdtrading.rtdserver",, "T&amp;T0", "ACP", 425)</f>
        <v>-</v>
      </c>
      <c r="C428" s="1">
        <f>RTD("rtdtrading.rtdserver",, "T&amp;T0", "PRE", 425)</f>
        <v>0</v>
      </c>
      <c r="D428" s="1">
        <f>RTD("rtdtrading.rtdserver",, "T&amp;T0", "QUL", 425)</f>
        <v>0</v>
      </c>
      <c r="E428" s="1" t="str">
        <f>RTD("rtdtrading.rtdserver",, "T&amp;T0", "AVD", 425)</f>
        <v>-</v>
      </c>
      <c r="F428" s="1" t="str">
        <f>RTD("rtdtrading.rtdserver",, "T&amp;T0", "AGR", 425)</f>
        <v>-</v>
      </c>
      <c r="G428" s="1" t="str">
        <f>RTD("rtdtrading.rtdserver",, "T&amp;T0", "AGAG", 425)</f>
        <v>-</v>
      </c>
    </row>
    <row r="429" spans="1:7" x14ac:dyDescent="0.25">
      <c r="A429" s="1" t="str">
        <f>RTD("rtdtrading.rtdserver",, "T&amp;T0", "DAT", 426)</f>
        <v>-</v>
      </c>
      <c r="B429" s="1" t="str">
        <f>RTD("rtdtrading.rtdserver",, "T&amp;T0", "ACP", 426)</f>
        <v>-</v>
      </c>
      <c r="C429" s="1">
        <f>RTD("rtdtrading.rtdserver",, "T&amp;T0", "PRE", 426)</f>
        <v>0</v>
      </c>
      <c r="D429" s="1">
        <f>RTD("rtdtrading.rtdserver",, "T&amp;T0", "QUL", 426)</f>
        <v>0</v>
      </c>
      <c r="E429" s="1" t="str">
        <f>RTD("rtdtrading.rtdserver",, "T&amp;T0", "AVD", 426)</f>
        <v>-</v>
      </c>
      <c r="F429" s="1" t="str">
        <f>RTD("rtdtrading.rtdserver",, "T&amp;T0", "AGR", 426)</f>
        <v>-</v>
      </c>
      <c r="G429" s="1" t="str">
        <f>RTD("rtdtrading.rtdserver",, "T&amp;T0", "AGAG", 426)</f>
        <v>-</v>
      </c>
    </row>
    <row r="430" spans="1:7" x14ac:dyDescent="0.25">
      <c r="A430" s="1" t="str">
        <f>RTD("rtdtrading.rtdserver",, "T&amp;T0", "DAT", 427)</f>
        <v>-</v>
      </c>
      <c r="B430" s="1" t="str">
        <f>RTD("rtdtrading.rtdserver",, "T&amp;T0", "ACP", 427)</f>
        <v>-</v>
      </c>
      <c r="C430" s="1">
        <f>RTD("rtdtrading.rtdserver",, "T&amp;T0", "PRE", 427)</f>
        <v>0</v>
      </c>
      <c r="D430" s="1">
        <f>RTD("rtdtrading.rtdserver",, "T&amp;T0", "QUL", 427)</f>
        <v>0</v>
      </c>
      <c r="E430" s="1" t="str">
        <f>RTD("rtdtrading.rtdserver",, "T&amp;T0", "AVD", 427)</f>
        <v>-</v>
      </c>
      <c r="F430" s="1" t="str">
        <f>RTD("rtdtrading.rtdserver",, "T&amp;T0", "AGR", 427)</f>
        <v>-</v>
      </c>
      <c r="G430" s="1" t="str">
        <f>RTD("rtdtrading.rtdserver",, "T&amp;T0", "AGAG", 427)</f>
        <v>-</v>
      </c>
    </row>
    <row r="431" spans="1:7" x14ac:dyDescent="0.25">
      <c r="A431" s="1" t="str">
        <f>RTD("rtdtrading.rtdserver",, "T&amp;T0", "DAT", 428)</f>
        <v>-</v>
      </c>
      <c r="B431" s="1" t="str">
        <f>RTD("rtdtrading.rtdserver",, "T&amp;T0", "ACP", 428)</f>
        <v>-</v>
      </c>
      <c r="C431" s="1">
        <f>RTD("rtdtrading.rtdserver",, "T&amp;T0", "PRE", 428)</f>
        <v>0</v>
      </c>
      <c r="D431" s="1">
        <f>RTD("rtdtrading.rtdserver",, "T&amp;T0", "QUL", 428)</f>
        <v>0</v>
      </c>
      <c r="E431" s="1" t="str">
        <f>RTD("rtdtrading.rtdserver",, "T&amp;T0", "AVD", 428)</f>
        <v>-</v>
      </c>
      <c r="F431" s="1" t="str">
        <f>RTD("rtdtrading.rtdserver",, "T&amp;T0", "AGR", 428)</f>
        <v>-</v>
      </c>
      <c r="G431" s="1" t="str">
        <f>RTD("rtdtrading.rtdserver",, "T&amp;T0", "AGAG", 428)</f>
        <v>-</v>
      </c>
    </row>
    <row r="432" spans="1:7" x14ac:dyDescent="0.25">
      <c r="A432" s="1" t="str">
        <f>RTD("rtdtrading.rtdserver",, "T&amp;T0", "DAT", 429)</f>
        <v>-</v>
      </c>
      <c r="B432" s="1" t="str">
        <f>RTD("rtdtrading.rtdserver",, "T&amp;T0", "ACP", 429)</f>
        <v>-</v>
      </c>
      <c r="C432" s="1">
        <f>RTD("rtdtrading.rtdserver",, "T&amp;T0", "PRE", 429)</f>
        <v>0</v>
      </c>
      <c r="D432" s="1">
        <f>RTD("rtdtrading.rtdserver",, "T&amp;T0", "QUL", 429)</f>
        <v>0</v>
      </c>
      <c r="E432" s="1" t="str">
        <f>RTD("rtdtrading.rtdserver",, "T&amp;T0", "AVD", 429)</f>
        <v>-</v>
      </c>
      <c r="F432" s="1" t="str">
        <f>RTD("rtdtrading.rtdserver",, "T&amp;T0", "AGR", 429)</f>
        <v>-</v>
      </c>
      <c r="G432" s="1" t="str">
        <f>RTD("rtdtrading.rtdserver",, "T&amp;T0", "AGAG", 429)</f>
        <v>-</v>
      </c>
    </row>
    <row r="433" spans="1:7" x14ac:dyDescent="0.25">
      <c r="A433" s="1" t="str">
        <f>RTD("rtdtrading.rtdserver",, "T&amp;T0", "DAT", 430)</f>
        <v>-</v>
      </c>
      <c r="B433" s="1" t="str">
        <f>RTD("rtdtrading.rtdserver",, "T&amp;T0", "ACP", 430)</f>
        <v>-</v>
      </c>
      <c r="C433" s="1">
        <f>RTD("rtdtrading.rtdserver",, "T&amp;T0", "PRE", 430)</f>
        <v>0</v>
      </c>
      <c r="D433" s="1">
        <f>RTD("rtdtrading.rtdserver",, "T&amp;T0", "QUL", 430)</f>
        <v>0</v>
      </c>
      <c r="E433" s="1" t="str">
        <f>RTD("rtdtrading.rtdserver",, "T&amp;T0", "AVD", 430)</f>
        <v>-</v>
      </c>
      <c r="F433" s="1" t="str">
        <f>RTD("rtdtrading.rtdserver",, "T&amp;T0", "AGR", 430)</f>
        <v>-</v>
      </c>
      <c r="G433" s="1" t="str">
        <f>RTD("rtdtrading.rtdserver",, "T&amp;T0", "AGAG", 430)</f>
        <v>-</v>
      </c>
    </row>
    <row r="434" spans="1:7" x14ac:dyDescent="0.25">
      <c r="A434" s="1" t="str">
        <f>RTD("rtdtrading.rtdserver",, "T&amp;T0", "DAT", 431)</f>
        <v>-</v>
      </c>
      <c r="B434" s="1" t="str">
        <f>RTD("rtdtrading.rtdserver",, "T&amp;T0", "ACP", 431)</f>
        <v>-</v>
      </c>
      <c r="C434" s="1">
        <f>RTD("rtdtrading.rtdserver",, "T&amp;T0", "PRE", 431)</f>
        <v>0</v>
      </c>
      <c r="D434" s="1">
        <f>RTD("rtdtrading.rtdserver",, "T&amp;T0", "QUL", 431)</f>
        <v>0</v>
      </c>
      <c r="E434" s="1" t="str">
        <f>RTD("rtdtrading.rtdserver",, "T&amp;T0", "AVD", 431)</f>
        <v>-</v>
      </c>
      <c r="F434" s="1" t="str">
        <f>RTD("rtdtrading.rtdserver",, "T&amp;T0", "AGR", 431)</f>
        <v>-</v>
      </c>
      <c r="G434" s="1" t="str">
        <f>RTD("rtdtrading.rtdserver",, "T&amp;T0", "AGAG", 431)</f>
        <v>-</v>
      </c>
    </row>
    <row r="435" spans="1:7" x14ac:dyDescent="0.25">
      <c r="A435" s="1" t="str">
        <f>RTD("rtdtrading.rtdserver",, "T&amp;T0", "DAT", 432)</f>
        <v>-</v>
      </c>
      <c r="B435" s="1" t="str">
        <f>RTD("rtdtrading.rtdserver",, "T&amp;T0", "ACP", 432)</f>
        <v>-</v>
      </c>
      <c r="C435" s="1">
        <f>RTD("rtdtrading.rtdserver",, "T&amp;T0", "PRE", 432)</f>
        <v>0</v>
      </c>
      <c r="D435" s="1">
        <f>RTD("rtdtrading.rtdserver",, "T&amp;T0", "QUL", 432)</f>
        <v>0</v>
      </c>
      <c r="E435" s="1" t="str">
        <f>RTD("rtdtrading.rtdserver",, "T&amp;T0", "AVD", 432)</f>
        <v>-</v>
      </c>
      <c r="F435" s="1" t="str">
        <f>RTD("rtdtrading.rtdserver",, "T&amp;T0", "AGR", 432)</f>
        <v>-</v>
      </c>
      <c r="G435" s="1" t="str">
        <f>RTD("rtdtrading.rtdserver",, "T&amp;T0", "AGAG", 432)</f>
        <v>-</v>
      </c>
    </row>
    <row r="436" spans="1:7" x14ac:dyDescent="0.25">
      <c r="A436" s="1" t="str">
        <f>RTD("rtdtrading.rtdserver",, "T&amp;T0", "DAT", 433)</f>
        <v>-</v>
      </c>
      <c r="B436" s="1" t="str">
        <f>RTD("rtdtrading.rtdserver",, "T&amp;T0", "ACP", 433)</f>
        <v>-</v>
      </c>
      <c r="C436" s="1">
        <f>RTD("rtdtrading.rtdserver",, "T&amp;T0", "PRE", 433)</f>
        <v>0</v>
      </c>
      <c r="D436" s="1">
        <f>RTD("rtdtrading.rtdserver",, "T&amp;T0", "QUL", 433)</f>
        <v>0</v>
      </c>
      <c r="E436" s="1" t="str">
        <f>RTD("rtdtrading.rtdserver",, "T&amp;T0", "AVD", 433)</f>
        <v>-</v>
      </c>
      <c r="F436" s="1" t="str">
        <f>RTD("rtdtrading.rtdserver",, "T&amp;T0", "AGR", 433)</f>
        <v>-</v>
      </c>
      <c r="G436" s="1" t="str">
        <f>RTD("rtdtrading.rtdserver",, "T&amp;T0", "AGAG", 433)</f>
        <v>-</v>
      </c>
    </row>
    <row r="437" spans="1:7" x14ac:dyDescent="0.25">
      <c r="A437" s="1" t="str">
        <f>RTD("rtdtrading.rtdserver",, "T&amp;T0", "DAT", 434)</f>
        <v>-</v>
      </c>
      <c r="B437" s="1" t="str">
        <f>RTD("rtdtrading.rtdserver",, "T&amp;T0", "ACP", 434)</f>
        <v>-</v>
      </c>
      <c r="C437" s="1">
        <f>RTD("rtdtrading.rtdserver",, "T&amp;T0", "PRE", 434)</f>
        <v>0</v>
      </c>
      <c r="D437" s="1">
        <f>RTD("rtdtrading.rtdserver",, "T&amp;T0", "QUL", 434)</f>
        <v>0</v>
      </c>
      <c r="E437" s="1" t="str">
        <f>RTD("rtdtrading.rtdserver",, "T&amp;T0", "AVD", 434)</f>
        <v>-</v>
      </c>
      <c r="F437" s="1" t="str">
        <f>RTD("rtdtrading.rtdserver",, "T&amp;T0", "AGR", 434)</f>
        <v>-</v>
      </c>
      <c r="G437" s="1" t="str">
        <f>RTD("rtdtrading.rtdserver",, "T&amp;T0", "AGAG", 434)</f>
        <v>-</v>
      </c>
    </row>
    <row r="438" spans="1:7" x14ac:dyDescent="0.25">
      <c r="A438" s="1" t="str">
        <f>RTD("rtdtrading.rtdserver",, "T&amp;T0", "DAT", 435)</f>
        <v>-</v>
      </c>
      <c r="B438" s="1" t="str">
        <f>RTD("rtdtrading.rtdserver",, "T&amp;T0", "ACP", 435)</f>
        <v>-</v>
      </c>
      <c r="C438" s="1">
        <f>RTD("rtdtrading.rtdserver",, "T&amp;T0", "PRE", 435)</f>
        <v>0</v>
      </c>
      <c r="D438" s="1">
        <f>RTD("rtdtrading.rtdserver",, "T&amp;T0", "QUL", 435)</f>
        <v>0</v>
      </c>
      <c r="E438" s="1" t="str">
        <f>RTD("rtdtrading.rtdserver",, "T&amp;T0", "AVD", 435)</f>
        <v>-</v>
      </c>
      <c r="F438" s="1" t="str">
        <f>RTD("rtdtrading.rtdserver",, "T&amp;T0", "AGR", 435)</f>
        <v>-</v>
      </c>
      <c r="G438" s="1" t="str">
        <f>RTD("rtdtrading.rtdserver",, "T&amp;T0", "AGAG", 435)</f>
        <v>-</v>
      </c>
    </row>
    <row r="439" spans="1:7" x14ac:dyDescent="0.25">
      <c r="A439" s="1" t="str">
        <f>RTD("rtdtrading.rtdserver",, "T&amp;T0", "DAT", 436)</f>
        <v>-</v>
      </c>
      <c r="B439" s="1" t="str">
        <f>RTD("rtdtrading.rtdserver",, "T&amp;T0", "ACP", 436)</f>
        <v>-</v>
      </c>
      <c r="C439" s="1">
        <f>RTD("rtdtrading.rtdserver",, "T&amp;T0", "PRE", 436)</f>
        <v>0</v>
      </c>
      <c r="D439" s="1">
        <f>RTD("rtdtrading.rtdserver",, "T&amp;T0", "QUL", 436)</f>
        <v>0</v>
      </c>
      <c r="E439" s="1" t="str">
        <f>RTD("rtdtrading.rtdserver",, "T&amp;T0", "AVD", 436)</f>
        <v>-</v>
      </c>
      <c r="F439" s="1" t="str">
        <f>RTD("rtdtrading.rtdserver",, "T&amp;T0", "AGR", 436)</f>
        <v>-</v>
      </c>
      <c r="G439" s="1" t="str">
        <f>RTD("rtdtrading.rtdserver",, "T&amp;T0", "AGAG", 436)</f>
        <v>-</v>
      </c>
    </row>
    <row r="440" spans="1:7" x14ac:dyDescent="0.25">
      <c r="A440" s="1" t="str">
        <f>RTD("rtdtrading.rtdserver",, "T&amp;T0", "DAT", 437)</f>
        <v>-</v>
      </c>
      <c r="B440" s="1" t="str">
        <f>RTD("rtdtrading.rtdserver",, "T&amp;T0", "ACP", 437)</f>
        <v>-</v>
      </c>
      <c r="C440" s="1">
        <f>RTD("rtdtrading.rtdserver",, "T&amp;T0", "PRE", 437)</f>
        <v>0</v>
      </c>
      <c r="D440" s="1">
        <f>RTD("rtdtrading.rtdserver",, "T&amp;T0", "QUL", 437)</f>
        <v>0</v>
      </c>
      <c r="E440" s="1" t="str">
        <f>RTD("rtdtrading.rtdserver",, "T&amp;T0", "AVD", 437)</f>
        <v>-</v>
      </c>
      <c r="F440" s="1" t="str">
        <f>RTD("rtdtrading.rtdserver",, "T&amp;T0", "AGR", 437)</f>
        <v>-</v>
      </c>
      <c r="G440" s="1" t="str">
        <f>RTD("rtdtrading.rtdserver",, "T&amp;T0", "AGAG", 437)</f>
        <v>-</v>
      </c>
    </row>
    <row r="441" spans="1:7" x14ac:dyDescent="0.25">
      <c r="A441" s="1" t="str">
        <f>RTD("rtdtrading.rtdserver",, "T&amp;T0", "DAT", 438)</f>
        <v>-</v>
      </c>
      <c r="B441" s="1" t="str">
        <f>RTD("rtdtrading.rtdserver",, "T&amp;T0", "ACP", 438)</f>
        <v>-</v>
      </c>
      <c r="C441" s="1">
        <f>RTD("rtdtrading.rtdserver",, "T&amp;T0", "PRE", 438)</f>
        <v>0</v>
      </c>
      <c r="D441" s="1">
        <f>RTD("rtdtrading.rtdserver",, "T&amp;T0", "QUL", 438)</f>
        <v>0</v>
      </c>
      <c r="E441" s="1" t="str">
        <f>RTD("rtdtrading.rtdserver",, "T&amp;T0", "AVD", 438)</f>
        <v>-</v>
      </c>
      <c r="F441" s="1" t="str">
        <f>RTD("rtdtrading.rtdserver",, "T&amp;T0", "AGR", 438)</f>
        <v>-</v>
      </c>
      <c r="G441" s="1" t="str">
        <f>RTD("rtdtrading.rtdserver",, "T&amp;T0", "AGAG", 438)</f>
        <v>-</v>
      </c>
    </row>
    <row r="442" spans="1:7" x14ac:dyDescent="0.25">
      <c r="A442" s="1" t="str">
        <f>RTD("rtdtrading.rtdserver",, "T&amp;T0", "DAT", 439)</f>
        <v>-</v>
      </c>
      <c r="B442" s="1" t="str">
        <f>RTD("rtdtrading.rtdserver",, "T&amp;T0", "ACP", 439)</f>
        <v>-</v>
      </c>
      <c r="C442" s="1">
        <f>RTD("rtdtrading.rtdserver",, "T&amp;T0", "PRE", 439)</f>
        <v>0</v>
      </c>
      <c r="D442" s="1">
        <f>RTD("rtdtrading.rtdserver",, "T&amp;T0", "QUL", 439)</f>
        <v>0</v>
      </c>
      <c r="E442" s="1" t="str">
        <f>RTD("rtdtrading.rtdserver",, "T&amp;T0", "AVD", 439)</f>
        <v>-</v>
      </c>
      <c r="F442" s="1" t="str">
        <f>RTD("rtdtrading.rtdserver",, "T&amp;T0", "AGR", 439)</f>
        <v>-</v>
      </c>
      <c r="G442" s="1" t="str">
        <f>RTD("rtdtrading.rtdserver",, "T&amp;T0", "AGAG", 439)</f>
        <v>-</v>
      </c>
    </row>
    <row r="443" spans="1:7" x14ac:dyDescent="0.25">
      <c r="A443" s="1" t="str">
        <f>RTD("rtdtrading.rtdserver",, "T&amp;T0", "DAT", 440)</f>
        <v>-</v>
      </c>
      <c r="B443" s="1" t="str">
        <f>RTD("rtdtrading.rtdserver",, "T&amp;T0", "ACP", 440)</f>
        <v>-</v>
      </c>
      <c r="C443" s="1">
        <f>RTD("rtdtrading.rtdserver",, "T&amp;T0", "PRE", 440)</f>
        <v>0</v>
      </c>
      <c r="D443" s="1">
        <f>RTD("rtdtrading.rtdserver",, "T&amp;T0", "QUL", 440)</f>
        <v>0</v>
      </c>
      <c r="E443" s="1" t="str">
        <f>RTD("rtdtrading.rtdserver",, "T&amp;T0", "AVD", 440)</f>
        <v>-</v>
      </c>
      <c r="F443" s="1" t="str">
        <f>RTD("rtdtrading.rtdserver",, "T&amp;T0", "AGR", 440)</f>
        <v>-</v>
      </c>
      <c r="G443" s="1" t="str">
        <f>RTD("rtdtrading.rtdserver",, "T&amp;T0", "AGAG", 440)</f>
        <v>-</v>
      </c>
    </row>
    <row r="444" spans="1:7" x14ac:dyDescent="0.25">
      <c r="A444" s="1" t="str">
        <f>RTD("rtdtrading.rtdserver",, "T&amp;T0", "DAT", 441)</f>
        <v>-</v>
      </c>
      <c r="B444" s="1" t="str">
        <f>RTD("rtdtrading.rtdserver",, "T&amp;T0", "ACP", 441)</f>
        <v>-</v>
      </c>
      <c r="C444" s="1">
        <f>RTD("rtdtrading.rtdserver",, "T&amp;T0", "PRE", 441)</f>
        <v>0</v>
      </c>
      <c r="D444" s="1">
        <f>RTD("rtdtrading.rtdserver",, "T&amp;T0", "QUL", 441)</f>
        <v>0</v>
      </c>
      <c r="E444" s="1" t="str">
        <f>RTD("rtdtrading.rtdserver",, "T&amp;T0", "AVD", 441)</f>
        <v>-</v>
      </c>
      <c r="F444" s="1" t="str">
        <f>RTD("rtdtrading.rtdserver",, "T&amp;T0", "AGR", 441)</f>
        <v>-</v>
      </c>
      <c r="G444" s="1" t="str">
        <f>RTD("rtdtrading.rtdserver",, "T&amp;T0", "AGAG", 441)</f>
        <v>-</v>
      </c>
    </row>
    <row r="445" spans="1:7" x14ac:dyDescent="0.25">
      <c r="A445" s="1" t="str">
        <f>RTD("rtdtrading.rtdserver",, "T&amp;T0", "DAT", 442)</f>
        <v>-</v>
      </c>
      <c r="B445" s="1" t="str">
        <f>RTD("rtdtrading.rtdserver",, "T&amp;T0", "ACP", 442)</f>
        <v>-</v>
      </c>
      <c r="C445" s="1">
        <f>RTD("rtdtrading.rtdserver",, "T&amp;T0", "PRE", 442)</f>
        <v>0</v>
      </c>
      <c r="D445" s="1">
        <f>RTD("rtdtrading.rtdserver",, "T&amp;T0", "QUL", 442)</f>
        <v>0</v>
      </c>
      <c r="E445" s="1" t="str">
        <f>RTD("rtdtrading.rtdserver",, "T&amp;T0", "AVD", 442)</f>
        <v>-</v>
      </c>
      <c r="F445" s="1" t="str">
        <f>RTD("rtdtrading.rtdserver",, "T&amp;T0", "AGR", 442)</f>
        <v>-</v>
      </c>
      <c r="G445" s="1" t="str">
        <f>RTD("rtdtrading.rtdserver",, "T&amp;T0", "AGAG", 442)</f>
        <v>-</v>
      </c>
    </row>
    <row r="446" spans="1:7" x14ac:dyDescent="0.25">
      <c r="A446" s="1" t="str">
        <f>RTD("rtdtrading.rtdserver",, "T&amp;T0", "DAT", 443)</f>
        <v>-</v>
      </c>
      <c r="B446" s="1" t="str">
        <f>RTD("rtdtrading.rtdserver",, "T&amp;T0", "ACP", 443)</f>
        <v>-</v>
      </c>
      <c r="C446" s="1">
        <f>RTD("rtdtrading.rtdserver",, "T&amp;T0", "PRE", 443)</f>
        <v>0</v>
      </c>
      <c r="D446" s="1">
        <f>RTD("rtdtrading.rtdserver",, "T&amp;T0", "QUL", 443)</f>
        <v>0</v>
      </c>
      <c r="E446" s="1" t="str">
        <f>RTD("rtdtrading.rtdserver",, "T&amp;T0", "AVD", 443)</f>
        <v>-</v>
      </c>
      <c r="F446" s="1" t="str">
        <f>RTD("rtdtrading.rtdserver",, "T&amp;T0", "AGR", 443)</f>
        <v>-</v>
      </c>
      <c r="G446" s="1" t="str">
        <f>RTD("rtdtrading.rtdserver",, "T&amp;T0", "AGAG", 443)</f>
        <v>-</v>
      </c>
    </row>
    <row r="447" spans="1:7" x14ac:dyDescent="0.25">
      <c r="A447" s="1" t="str">
        <f>RTD("rtdtrading.rtdserver",, "T&amp;T0", "DAT", 444)</f>
        <v>-</v>
      </c>
      <c r="B447" s="1" t="str">
        <f>RTD("rtdtrading.rtdserver",, "T&amp;T0", "ACP", 444)</f>
        <v>-</v>
      </c>
      <c r="C447" s="1">
        <f>RTD("rtdtrading.rtdserver",, "T&amp;T0", "PRE", 444)</f>
        <v>0</v>
      </c>
      <c r="D447" s="1">
        <f>RTD("rtdtrading.rtdserver",, "T&amp;T0", "QUL", 444)</f>
        <v>0</v>
      </c>
      <c r="E447" s="1" t="str">
        <f>RTD("rtdtrading.rtdserver",, "T&amp;T0", "AVD", 444)</f>
        <v>-</v>
      </c>
      <c r="F447" s="1" t="str">
        <f>RTD("rtdtrading.rtdserver",, "T&amp;T0", "AGR", 444)</f>
        <v>-</v>
      </c>
      <c r="G447" s="1" t="str">
        <f>RTD("rtdtrading.rtdserver",, "T&amp;T0", "AGAG", 444)</f>
        <v>-</v>
      </c>
    </row>
    <row r="448" spans="1:7" x14ac:dyDescent="0.25">
      <c r="A448" s="1" t="str">
        <f>RTD("rtdtrading.rtdserver",, "T&amp;T0", "DAT", 445)</f>
        <v>-</v>
      </c>
      <c r="B448" s="1" t="str">
        <f>RTD("rtdtrading.rtdserver",, "T&amp;T0", "ACP", 445)</f>
        <v>-</v>
      </c>
      <c r="C448" s="1">
        <f>RTD("rtdtrading.rtdserver",, "T&amp;T0", "PRE", 445)</f>
        <v>0</v>
      </c>
      <c r="D448" s="1">
        <f>RTD("rtdtrading.rtdserver",, "T&amp;T0", "QUL", 445)</f>
        <v>0</v>
      </c>
      <c r="E448" s="1" t="str">
        <f>RTD("rtdtrading.rtdserver",, "T&amp;T0", "AVD", 445)</f>
        <v>-</v>
      </c>
      <c r="F448" s="1" t="str">
        <f>RTD("rtdtrading.rtdserver",, "T&amp;T0", "AGR", 445)</f>
        <v>-</v>
      </c>
      <c r="G448" s="1" t="str">
        <f>RTD("rtdtrading.rtdserver",, "T&amp;T0", "AGAG", 445)</f>
        <v>-</v>
      </c>
    </row>
    <row r="449" spans="1:7" x14ac:dyDescent="0.25">
      <c r="A449" s="1" t="str">
        <f>RTD("rtdtrading.rtdserver",, "T&amp;T0", "DAT", 446)</f>
        <v>-</v>
      </c>
      <c r="B449" s="1" t="str">
        <f>RTD("rtdtrading.rtdserver",, "T&amp;T0", "ACP", 446)</f>
        <v>-</v>
      </c>
      <c r="C449" s="1">
        <f>RTD("rtdtrading.rtdserver",, "T&amp;T0", "PRE", 446)</f>
        <v>0</v>
      </c>
      <c r="D449" s="1">
        <f>RTD("rtdtrading.rtdserver",, "T&amp;T0", "QUL", 446)</f>
        <v>0</v>
      </c>
      <c r="E449" s="1" t="str">
        <f>RTD("rtdtrading.rtdserver",, "T&amp;T0", "AVD", 446)</f>
        <v>-</v>
      </c>
      <c r="F449" s="1" t="str">
        <f>RTD("rtdtrading.rtdserver",, "T&amp;T0", "AGR", 446)</f>
        <v>-</v>
      </c>
      <c r="G449" s="1" t="str">
        <f>RTD("rtdtrading.rtdserver",, "T&amp;T0", "AGAG", 446)</f>
        <v>-</v>
      </c>
    </row>
    <row r="450" spans="1:7" x14ac:dyDescent="0.25">
      <c r="A450" s="1" t="str">
        <f>RTD("rtdtrading.rtdserver",, "T&amp;T0", "DAT", 447)</f>
        <v>-</v>
      </c>
      <c r="B450" s="1" t="str">
        <f>RTD("rtdtrading.rtdserver",, "T&amp;T0", "ACP", 447)</f>
        <v>-</v>
      </c>
      <c r="C450" s="1">
        <f>RTD("rtdtrading.rtdserver",, "T&amp;T0", "PRE", 447)</f>
        <v>0</v>
      </c>
      <c r="D450" s="1">
        <f>RTD("rtdtrading.rtdserver",, "T&amp;T0", "QUL", 447)</f>
        <v>0</v>
      </c>
      <c r="E450" s="1" t="str">
        <f>RTD("rtdtrading.rtdserver",, "T&amp;T0", "AVD", 447)</f>
        <v>-</v>
      </c>
      <c r="F450" s="1" t="str">
        <f>RTD("rtdtrading.rtdserver",, "T&amp;T0", "AGR", 447)</f>
        <v>-</v>
      </c>
      <c r="G450" s="1" t="str">
        <f>RTD("rtdtrading.rtdserver",, "T&amp;T0", "AGAG", 447)</f>
        <v>-</v>
      </c>
    </row>
    <row r="451" spans="1:7" x14ac:dyDescent="0.25">
      <c r="A451" s="1" t="str">
        <f>RTD("rtdtrading.rtdserver",, "T&amp;T0", "DAT", 448)</f>
        <v>-</v>
      </c>
      <c r="B451" s="1" t="str">
        <f>RTD("rtdtrading.rtdserver",, "T&amp;T0", "ACP", 448)</f>
        <v>-</v>
      </c>
      <c r="C451" s="1">
        <f>RTD("rtdtrading.rtdserver",, "T&amp;T0", "PRE", 448)</f>
        <v>0</v>
      </c>
      <c r="D451" s="1">
        <f>RTD("rtdtrading.rtdserver",, "T&amp;T0", "QUL", 448)</f>
        <v>0</v>
      </c>
      <c r="E451" s="1" t="str">
        <f>RTD("rtdtrading.rtdserver",, "T&amp;T0", "AVD", 448)</f>
        <v>-</v>
      </c>
      <c r="F451" s="1" t="str">
        <f>RTD("rtdtrading.rtdserver",, "T&amp;T0", "AGR", 448)</f>
        <v>-</v>
      </c>
      <c r="G451" s="1" t="str">
        <f>RTD("rtdtrading.rtdserver",, "T&amp;T0", "AGAG", 448)</f>
        <v>-</v>
      </c>
    </row>
    <row r="452" spans="1:7" x14ac:dyDescent="0.25">
      <c r="A452" s="1" t="str">
        <f>RTD("rtdtrading.rtdserver",, "T&amp;T0", "DAT", 449)</f>
        <v>-</v>
      </c>
      <c r="B452" s="1" t="str">
        <f>RTD("rtdtrading.rtdserver",, "T&amp;T0", "ACP", 449)</f>
        <v>-</v>
      </c>
      <c r="C452" s="1">
        <f>RTD("rtdtrading.rtdserver",, "T&amp;T0", "PRE", 449)</f>
        <v>0</v>
      </c>
      <c r="D452" s="1">
        <f>RTD("rtdtrading.rtdserver",, "T&amp;T0", "QUL", 449)</f>
        <v>0</v>
      </c>
      <c r="E452" s="1" t="str">
        <f>RTD("rtdtrading.rtdserver",, "T&amp;T0", "AVD", 449)</f>
        <v>-</v>
      </c>
      <c r="F452" s="1" t="str">
        <f>RTD("rtdtrading.rtdserver",, "T&amp;T0", "AGR", 449)</f>
        <v>-</v>
      </c>
      <c r="G452" s="1" t="str">
        <f>RTD("rtdtrading.rtdserver",, "T&amp;T0", "AGAG", 449)</f>
        <v>-</v>
      </c>
    </row>
    <row r="453" spans="1:7" x14ac:dyDescent="0.25">
      <c r="A453" s="1" t="str">
        <f>RTD("rtdtrading.rtdserver",, "T&amp;T0", "DAT", 450)</f>
        <v>-</v>
      </c>
      <c r="B453" s="1" t="str">
        <f>RTD("rtdtrading.rtdserver",, "T&amp;T0", "ACP", 450)</f>
        <v>-</v>
      </c>
      <c r="C453" s="1">
        <f>RTD("rtdtrading.rtdserver",, "T&amp;T0", "PRE", 450)</f>
        <v>0</v>
      </c>
      <c r="D453" s="1">
        <f>RTD("rtdtrading.rtdserver",, "T&amp;T0", "QUL", 450)</f>
        <v>0</v>
      </c>
      <c r="E453" s="1" t="str">
        <f>RTD("rtdtrading.rtdserver",, "T&amp;T0", "AVD", 450)</f>
        <v>-</v>
      </c>
      <c r="F453" s="1" t="str">
        <f>RTD("rtdtrading.rtdserver",, "T&amp;T0", "AGR", 450)</f>
        <v>-</v>
      </c>
      <c r="G453" s="1" t="str">
        <f>RTD("rtdtrading.rtdserver",, "T&amp;T0", "AGAG", 450)</f>
        <v>-</v>
      </c>
    </row>
    <row r="454" spans="1:7" x14ac:dyDescent="0.25">
      <c r="A454" s="1" t="str">
        <f>RTD("rtdtrading.rtdserver",, "T&amp;T0", "DAT", 451)</f>
        <v>-</v>
      </c>
      <c r="B454" s="1" t="str">
        <f>RTD("rtdtrading.rtdserver",, "T&amp;T0", "ACP", 451)</f>
        <v>-</v>
      </c>
      <c r="C454" s="1">
        <f>RTD("rtdtrading.rtdserver",, "T&amp;T0", "PRE", 451)</f>
        <v>0</v>
      </c>
      <c r="D454" s="1">
        <f>RTD("rtdtrading.rtdserver",, "T&amp;T0", "QUL", 451)</f>
        <v>0</v>
      </c>
      <c r="E454" s="1" t="str">
        <f>RTD("rtdtrading.rtdserver",, "T&amp;T0", "AVD", 451)</f>
        <v>-</v>
      </c>
      <c r="F454" s="1" t="str">
        <f>RTD("rtdtrading.rtdserver",, "T&amp;T0", "AGR", 451)</f>
        <v>-</v>
      </c>
      <c r="G454" s="1" t="str">
        <f>RTD("rtdtrading.rtdserver",, "T&amp;T0", "AGAG", 451)</f>
        <v>-</v>
      </c>
    </row>
    <row r="455" spans="1:7" x14ac:dyDescent="0.25">
      <c r="A455" s="1" t="str">
        <f>RTD("rtdtrading.rtdserver",, "T&amp;T0", "DAT", 452)</f>
        <v>-</v>
      </c>
      <c r="B455" s="1" t="str">
        <f>RTD("rtdtrading.rtdserver",, "T&amp;T0", "ACP", 452)</f>
        <v>-</v>
      </c>
      <c r="C455" s="1">
        <f>RTD("rtdtrading.rtdserver",, "T&amp;T0", "PRE", 452)</f>
        <v>0</v>
      </c>
      <c r="D455" s="1">
        <f>RTD("rtdtrading.rtdserver",, "T&amp;T0", "QUL", 452)</f>
        <v>0</v>
      </c>
      <c r="E455" s="1" t="str">
        <f>RTD("rtdtrading.rtdserver",, "T&amp;T0", "AVD", 452)</f>
        <v>-</v>
      </c>
      <c r="F455" s="1" t="str">
        <f>RTD("rtdtrading.rtdserver",, "T&amp;T0", "AGR", 452)</f>
        <v>-</v>
      </c>
      <c r="G455" s="1" t="str">
        <f>RTD("rtdtrading.rtdserver",, "T&amp;T0", "AGAG", 452)</f>
        <v>-</v>
      </c>
    </row>
    <row r="456" spans="1:7" x14ac:dyDescent="0.25">
      <c r="A456" s="1" t="str">
        <f>RTD("rtdtrading.rtdserver",, "T&amp;T0", "DAT", 453)</f>
        <v>-</v>
      </c>
      <c r="B456" s="1" t="str">
        <f>RTD("rtdtrading.rtdserver",, "T&amp;T0", "ACP", 453)</f>
        <v>-</v>
      </c>
      <c r="C456" s="1">
        <f>RTD("rtdtrading.rtdserver",, "T&amp;T0", "PRE", 453)</f>
        <v>0</v>
      </c>
      <c r="D456" s="1">
        <f>RTD("rtdtrading.rtdserver",, "T&amp;T0", "QUL", 453)</f>
        <v>0</v>
      </c>
      <c r="E456" s="1" t="str">
        <f>RTD("rtdtrading.rtdserver",, "T&amp;T0", "AVD", 453)</f>
        <v>-</v>
      </c>
      <c r="F456" s="1" t="str">
        <f>RTD("rtdtrading.rtdserver",, "T&amp;T0", "AGR", 453)</f>
        <v>-</v>
      </c>
      <c r="G456" s="1" t="str">
        <f>RTD("rtdtrading.rtdserver",, "T&amp;T0", "AGAG", 453)</f>
        <v>-</v>
      </c>
    </row>
    <row r="457" spans="1:7" x14ac:dyDescent="0.25">
      <c r="A457" s="1" t="str">
        <f>RTD("rtdtrading.rtdserver",, "T&amp;T0", "DAT", 454)</f>
        <v>-</v>
      </c>
      <c r="B457" s="1" t="str">
        <f>RTD("rtdtrading.rtdserver",, "T&amp;T0", "ACP", 454)</f>
        <v>-</v>
      </c>
      <c r="C457" s="1">
        <f>RTD("rtdtrading.rtdserver",, "T&amp;T0", "PRE", 454)</f>
        <v>0</v>
      </c>
      <c r="D457" s="1">
        <f>RTD("rtdtrading.rtdserver",, "T&amp;T0", "QUL", 454)</f>
        <v>0</v>
      </c>
      <c r="E457" s="1" t="str">
        <f>RTD("rtdtrading.rtdserver",, "T&amp;T0", "AVD", 454)</f>
        <v>-</v>
      </c>
      <c r="F457" s="1" t="str">
        <f>RTD("rtdtrading.rtdserver",, "T&amp;T0", "AGR", 454)</f>
        <v>-</v>
      </c>
      <c r="G457" s="1" t="str">
        <f>RTD("rtdtrading.rtdserver",, "T&amp;T0", "AGAG", 454)</f>
        <v>-</v>
      </c>
    </row>
    <row r="458" spans="1:7" x14ac:dyDescent="0.25">
      <c r="A458" s="1" t="str">
        <f>RTD("rtdtrading.rtdserver",, "T&amp;T0", "DAT", 455)</f>
        <v>-</v>
      </c>
      <c r="B458" s="1" t="str">
        <f>RTD("rtdtrading.rtdserver",, "T&amp;T0", "ACP", 455)</f>
        <v>-</v>
      </c>
      <c r="C458" s="1">
        <f>RTD("rtdtrading.rtdserver",, "T&amp;T0", "PRE", 455)</f>
        <v>0</v>
      </c>
      <c r="D458" s="1">
        <f>RTD("rtdtrading.rtdserver",, "T&amp;T0", "QUL", 455)</f>
        <v>0</v>
      </c>
      <c r="E458" s="1" t="str">
        <f>RTD("rtdtrading.rtdserver",, "T&amp;T0", "AVD", 455)</f>
        <v>-</v>
      </c>
      <c r="F458" s="1" t="str">
        <f>RTD("rtdtrading.rtdserver",, "T&amp;T0", "AGR", 455)</f>
        <v>-</v>
      </c>
      <c r="G458" s="1" t="str">
        <f>RTD("rtdtrading.rtdserver",, "T&amp;T0", "AGAG", 455)</f>
        <v>-</v>
      </c>
    </row>
    <row r="459" spans="1:7" x14ac:dyDescent="0.25">
      <c r="A459" s="1" t="str">
        <f>RTD("rtdtrading.rtdserver",, "T&amp;T0", "DAT", 456)</f>
        <v>-</v>
      </c>
      <c r="B459" s="1" t="str">
        <f>RTD("rtdtrading.rtdserver",, "T&amp;T0", "ACP", 456)</f>
        <v>-</v>
      </c>
      <c r="C459" s="1">
        <f>RTD("rtdtrading.rtdserver",, "T&amp;T0", "PRE", 456)</f>
        <v>0</v>
      </c>
      <c r="D459" s="1">
        <f>RTD("rtdtrading.rtdserver",, "T&amp;T0", "QUL", 456)</f>
        <v>0</v>
      </c>
      <c r="E459" s="1" t="str">
        <f>RTD("rtdtrading.rtdserver",, "T&amp;T0", "AVD", 456)</f>
        <v>-</v>
      </c>
      <c r="F459" s="1" t="str">
        <f>RTD("rtdtrading.rtdserver",, "T&amp;T0", "AGR", 456)</f>
        <v>-</v>
      </c>
      <c r="G459" s="1" t="str">
        <f>RTD("rtdtrading.rtdserver",, "T&amp;T0", "AGAG", 456)</f>
        <v>-</v>
      </c>
    </row>
    <row r="460" spans="1:7" x14ac:dyDescent="0.25">
      <c r="A460" s="1" t="str">
        <f>RTD("rtdtrading.rtdserver",, "T&amp;T0", "DAT", 457)</f>
        <v>-</v>
      </c>
      <c r="B460" s="1" t="str">
        <f>RTD("rtdtrading.rtdserver",, "T&amp;T0", "ACP", 457)</f>
        <v>-</v>
      </c>
      <c r="C460" s="1">
        <f>RTD("rtdtrading.rtdserver",, "T&amp;T0", "PRE", 457)</f>
        <v>0</v>
      </c>
      <c r="D460" s="1">
        <f>RTD("rtdtrading.rtdserver",, "T&amp;T0", "QUL", 457)</f>
        <v>0</v>
      </c>
      <c r="E460" s="1" t="str">
        <f>RTD("rtdtrading.rtdserver",, "T&amp;T0", "AVD", 457)</f>
        <v>-</v>
      </c>
      <c r="F460" s="1" t="str">
        <f>RTD("rtdtrading.rtdserver",, "T&amp;T0", "AGR", 457)</f>
        <v>-</v>
      </c>
      <c r="G460" s="1" t="str">
        <f>RTD("rtdtrading.rtdserver",, "T&amp;T0", "AGAG", 457)</f>
        <v>-</v>
      </c>
    </row>
    <row r="461" spans="1:7" x14ac:dyDescent="0.25">
      <c r="A461" s="1" t="str">
        <f>RTD("rtdtrading.rtdserver",, "T&amp;T0", "DAT", 458)</f>
        <v>-</v>
      </c>
      <c r="B461" s="1" t="str">
        <f>RTD("rtdtrading.rtdserver",, "T&amp;T0", "ACP", 458)</f>
        <v>-</v>
      </c>
      <c r="C461" s="1">
        <f>RTD("rtdtrading.rtdserver",, "T&amp;T0", "PRE", 458)</f>
        <v>0</v>
      </c>
      <c r="D461" s="1">
        <f>RTD("rtdtrading.rtdserver",, "T&amp;T0", "QUL", 458)</f>
        <v>0</v>
      </c>
      <c r="E461" s="1" t="str">
        <f>RTD("rtdtrading.rtdserver",, "T&amp;T0", "AVD", 458)</f>
        <v>-</v>
      </c>
      <c r="F461" s="1" t="str">
        <f>RTD("rtdtrading.rtdserver",, "T&amp;T0", "AGR", 458)</f>
        <v>-</v>
      </c>
      <c r="G461" s="1" t="str">
        <f>RTD("rtdtrading.rtdserver",, "T&amp;T0", "AGAG", 458)</f>
        <v>-</v>
      </c>
    </row>
    <row r="462" spans="1:7" x14ac:dyDescent="0.25">
      <c r="A462" s="1" t="str">
        <f>RTD("rtdtrading.rtdserver",, "T&amp;T0", "DAT", 459)</f>
        <v>-</v>
      </c>
      <c r="B462" s="1" t="str">
        <f>RTD("rtdtrading.rtdserver",, "T&amp;T0", "ACP", 459)</f>
        <v>-</v>
      </c>
      <c r="C462" s="1">
        <f>RTD("rtdtrading.rtdserver",, "T&amp;T0", "PRE", 459)</f>
        <v>0</v>
      </c>
      <c r="D462" s="1">
        <f>RTD("rtdtrading.rtdserver",, "T&amp;T0", "QUL", 459)</f>
        <v>0</v>
      </c>
      <c r="E462" s="1" t="str">
        <f>RTD("rtdtrading.rtdserver",, "T&amp;T0", "AVD", 459)</f>
        <v>-</v>
      </c>
      <c r="F462" s="1" t="str">
        <f>RTD("rtdtrading.rtdserver",, "T&amp;T0", "AGR", 459)</f>
        <v>-</v>
      </c>
      <c r="G462" s="1" t="str">
        <f>RTD("rtdtrading.rtdserver",, "T&amp;T0", "AGAG", 459)</f>
        <v>-</v>
      </c>
    </row>
    <row r="463" spans="1:7" x14ac:dyDescent="0.25">
      <c r="A463" s="1" t="str">
        <f>RTD("rtdtrading.rtdserver",, "T&amp;T0", "DAT", 460)</f>
        <v>-</v>
      </c>
      <c r="B463" s="1" t="str">
        <f>RTD("rtdtrading.rtdserver",, "T&amp;T0", "ACP", 460)</f>
        <v>-</v>
      </c>
      <c r="C463" s="1">
        <f>RTD("rtdtrading.rtdserver",, "T&amp;T0", "PRE", 460)</f>
        <v>0</v>
      </c>
      <c r="D463" s="1">
        <f>RTD("rtdtrading.rtdserver",, "T&amp;T0", "QUL", 460)</f>
        <v>0</v>
      </c>
      <c r="E463" s="1" t="str">
        <f>RTD("rtdtrading.rtdserver",, "T&amp;T0", "AVD", 460)</f>
        <v>-</v>
      </c>
      <c r="F463" s="1" t="str">
        <f>RTD("rtdtrading.rtdserver",, "T&amp;T0", "AGR", 460)</f>
        <v>-</v>
      </c>
      <c r="G463" s="1" t="str">
        <f>RTD("rtdtrading.rtdserver",, "T&amp;T0", "AGAG", 460)</f>
        <v>-</v>
      </c>
    </row>
    <row r="464" spans="1:7" x14ac:dyDescent="0.25">
      <c r="A464" s="1" t="str">
        <f>RTD("rtdtrading.rtdserver",, "T&amp;T0", "DAT", 461)</f>
        <v>-</v>
      </c>
      <c r="B464" s="1" t="str">
        <f>RTD("rtdtrading.rtdserver",, "T&amp;T0", "ACP", 461)</f>
        <v>-</v>
      </c>
      <c r="C464" s="1">
        <f>RTD("rtdtrading.rtdserver",, "T&amp;T0", "PRE", 461)</f>
        <v>0</v>
      </c>
      <c r="D464" s="1">
        <f>RTD("rtdtrading.rtdserver",, "T&amp;T0", "QUL", 461)</f>
        <v>0</v>
      </c>
      <c r="E464" s="1" t="str">
        <f>RTD("rtdtrading.rtdserver",, "T&amp;T0", "AVD", 461)</f>
        <v>-</v>
      </c>
      <c r="F464" s="1" t="str">
        <f>RTD("rtdtrading.rtdserver",, "T&amp;T0", "AGR", 461)</f>
        <v>-</v>
      </c>
      <c r="G464" s="1" t="str">
        <f>RTD("rtdtrading.rtdserver",, "T&amp;T0", "AGAG", 461)</f>
        <v>-</v>
      </c>
    </row>
    <row r="465" spans="1:7" x14ac:dyDescent="0.25">
      <c r="A465" s="1" t="str">
        <f>RTD("rtdtrading.rtdserver",, "T&amp;T0", "DAT", 462)</f>
        <v>-</v>
      </c>
      <c r="B465" s="1" t="str">
        <f>RTD("rtdtrading.rtdserver",, "T&amp;T0", "ACP", 462)</f>
        <v>-</v>
      </c>
      <c r="C465" s="1">
        <f>RTD("rtdtrading.rtdserver",, "T&amp;T0", "PRE", 462)</f>
        <v>0</v>
      </c>
      <c r="D465" s="1">
        <f>RTD("rtdtrading.rtdserver",, "T&amp;T0", "QUL", 462)</f>
        <v>0</v>
      </c>
      <c r="E465" s="1" t="str">
        <f>RTD("rtdtrading.rtdserver",, "T&amp;T0", "AVD", 462)</f>
        <v>-</v>
      </c>
      <c r="F465" s="1" t="str">
        <f>RTD("rtdtrading.rtdserver",, "T&amp;T0", "AGR", 462)</f>
        <v>-</v>
      </c>
      <c r="G465" s="1" t="str">
        <f>RTD("rtdtrading.rtdserver",, "T&amp;T0", "AGAG", 462)</f>
        <v>-</v>
      </c>
    </row>
    <row r="466" spans="1:7" x14ac:dyDescent="0.25">
      <c r="A466" s="1" t="str">
        <f>RTD("rtdtrading.rtdserver",, "T&amp;T0", "DAT", 463)</f>
        <v>-</v>
      </c>
      <c r="B466" s="1" t="str">
        <f>RTD("rtdtrading.rtdserver",, "T&amp;T0", "ACP", 463)</f>
        <v>-</v>
      </c>
      <c r="C466" s="1">
        <f>RTD("rtdtrading.rtdserver",, "T&amp;T0", "PRE", 463)</f>
        <v>0</v>
      </c>
      <c r="D466" s="1">
        <f>RTD("rtdtrading.rtdserver",, "T&amp;T0", "QUL", 463)</f>
        <v>0</v>
      </c>
      <c r="E466" s="1" t="str">
        <f>RTD("rtdtrading.rtdserver",, "T&amp;T0", "AVD", 463)</f>
        <v>-</v>
      </c>
      <c r="F466" s="1" t="str">
        <f>RTD("rtdtrading.rtdserver",, "T&amp;T0", "AGR", 463)</f>
        <v>-</v>
      </c>
      <c r="G466" s="1" t="str">
        <f>RTD("rtdtrading.rtdserver",, "T&amp;T0", "AGAG", 463)</f>
        <v>-</v>
      </c>
    </row>
    <row r="467" spans="1:7" x14ac:dyDescent="0.25">
      <c r="A467" s="1" t="str">
        <f>RTD("rtdtrading.rtdserver",, "T&amp;T0", "DAT", 464)</f>
        <v>-</v>
      </c>
      <c r="B467" s="1" t="str">
        <f>RTD("rtdtrading.rtdserver",, "T&amp;T0", "ACP", 464)</f>
        <v>-</v>
      </c>
      <c r="C467" s="1">
        <f>RTD("rtdtrading.rtdserver",, "T&amp;T0", "PRE", 464)</f>
        <v>0</v>
      </c>
      <c r="D467" s="1">
        <f>RTD("rtdtrading.rtdserver",, "T&amp;T0", "QUL", 464)</f>
        <v>0</v>
      </c>
      <c r="E467" s="1" t="str">
        <f>RTD("rtdtrading.rtdserver",, "T&amp;T0", "AVD", 464)</f>
        <v>-</v>
      </c>
      <c r="F467" s="1" t="str">
        <f>RTD("rtdtrading.rtdserver",, "T&amp;T0", "AGR", 464)</f>
        <v>-</v>
      </c>
      <c r="G467" s="1" t="str">
        <f>RTD("rtdtrading.rtdserver",, "T&amp;T0", "AGAG", 464)</f>
        <v>-</v>
      </c>
    </row>
    <row r="468" spans="1:7" x14ac:dyDescent="0.25">
      <c r="A468" s="1" t="str">
        <f>RTD("rtdtrading.rtdserver",, "T&amp;T0", "DAT", 465)</f>
        <v>-</v>
      </c>
      <c r="B468" s="1" t="str">
        <f>RTD("rtdtrading.rtdserver",, "T&amp;T0", "ACP", 465)</f>
        <v>-</v>
      </c>
      <c r="C468" s="1">
        <f>RTD("rtdtrading.rtdserver",, "T&amp;T0", "PRE", 465)</f>
        <v>0</v>
      </c>
      <c r="D468" s="1">
        <f>RTD("rtdtrading.rtdserver",, "T&amp;T0", "QUL", 465)</f>
        <v>0</v>
      </c>
      <c r="E468" s="1" t="str">
        <f>RTD("rtdtrading.rtdserver",, "T&amp;T0", "AVD", 465)</f>
        <v>-</v>
      </c>
      <c r="F468" s="1" t="str">
        <f>RTD("rtdtrading.rtdserver",, "T&amp;T0", "AGR", 465)</f>
        <v>-</v>
      </c>
      <c r="G468" s="1" t="str">
        <f>RTD("rtdtrading.rtdserver",, "T&amp;T0", "AGAG", 465)</f>
        <v>-</v>
      </c>
    </row>
    <row r="469" spans="1:7" x14ac:dyDescent="0.25">
      <c r="A469" s="1" t="str">
        <f>RTD("rtdtrading.rtdserver",, "T&amp;T0", "DAT", 466)</f>
        <v>-</v>
      </c>
      <c r="B469" s="1" t="str">
        <f>RTD("rtdtrading.rtdserver",, "T&amp;T0", "ACP", 466)</f>
        <v>-</v>
      </c>
      <c r="C469" s="1">
        <f>RTD("rtdtrading.rtdserver",, "T&amp;T0", "PRE", 466)</f>
        <v>0</v>
      </c>
      <c r="D469" s="1">
        <f>RTD("rtdtrading.rtdserver",, "T&amp;T0", "QUL", 466)</f>
        <v>0</v>
      </c>
      <c r="E469" s="1" t="str">
        <f>RTD("rtdtrading.rtdserver",, "T&amp;T0", "AVD", 466)</f>
        <v>-</v>
      </c>
      <c r="F469" s="1" t="str">
        <f>RTD("rtdtrading.rtdserver",, "T&amp;T0", "AGR", 466)</f>
        <v>-</v>
      </c>
      <c r="G469" s="1" t="str">
        <f>RTD("rtdtrading.rtdserver",, "T&amp;T0", "AGAG", 466)</f>
        <v>-</v>
      </c>
    </row>
    <row r="470" spans="1:7" x14ac:dyDescent="0.25">
      <c r="A470" s="1" t="str">
        <f>RTD("rtdtrading.rtdserver",, "T&amp;T0", "DAT", 467)</f>
        <v>-</v>
      </c>
      <c r="B470" s="1" t="str">
        <f>RTD("rtdtrading.rtdserver",, "T&amp;T0", "ACP", 467)</f>
        <v>-</v>
      </c>
      <c r="C470" s="1">
        <f>RTD("rtdtrading.rtdserver",, "T&amp;T0", "PRE", 467)</f>
        <v>0</v>
      </c>
      <c r="D470" s="1">
        <f>RTD("rtdtrading.rtdserver",, "T&amp;T0", "QUL", 467)</f>
        <v>0</v>
      </c>
      <c r="E470" s="1" t="str">
        <f>RTD("rtdtrading.rtdserver",, "T&amp;T0", "AVD", 467)</f>
        <v>-</v>
      </c>
      <c r="F470" s="1" t="str">
        <f>RTD("rtdtrading.rtdserver",, "T&amp;T0", "AGR", 467)</f>
        <v>-</v>
      </c>
      <c r="G470" s="1" t="str">
        <f>RTD("rtdtrading.rtdserver",, "T&amp;T0", "AGAG", 467)</f>
        <v>-</v>
      </c>
    </row>
    <row r="471" spans="1:7" x14ac:dyDescent="0.25">
      <c r="A471" s="1" t="str">
        <f>RTD("rtdtrading.rtdserver",, "T&amp;T0", "DAT", 468)</f>
        <v>-</v>
      </c>
      <c r="B471" s="1" t="str">
        <f>RTD("rtdtrading.rtdserver",, "T&amp;T0", "ACP", 468)</f>
        <v>-</v>
      </c>
      <c r="C471" s="1">
        <f>RTD("rtdtrading.rtdserver",, "T&amp;T0", "PRE", 468)</f>
        <v>0</v>
      </c>
      <c r="D471" s="1">
        <f>RTD("rtdtrading.rtdserver",, "T&amp;T0", "QUL", 468)</f>
        <v>0</v>
      </c>
      <c r="E471" s="1" t="str">
        <f>RTD("rtdtrading.rtdserver",, "T&amp;T0", "AVD", 468)</f>
        <v>-</v>
      </c>
      <c r="F471" s="1" t="str">
        <f>RTD("rtdtrading.rtdserver",, "T&amp;T0", "AGR", 468)</f>
        <v>-</v>
      </c>
      <c r="G471" s="1" t="str">
        <f>RTD("rtdtrading.rtdserver",, "T&amp;T0", "AGAG", 468)</f>
        <v>-</v>
      </c>
    </row>
    <row r="472" spans="1:7" x14ac:dyDescent="0.25">
      <c r="A472" s="1" t="str">
        <f>RTD("rtdtrading.rtdserver",, "T&amp;T0", "DAT", 469)</f>
        <v>-</v>
      </c>
      <c r="B472" s="1" t="str">
        <f>RTD("rtdtrading.rtdserver",, "T&amp;T0", "ACP", 469)</f>
        <v>-</v>
      </c>
      <c r="C472" s="1">
        <f>RTD("rtdtrading.rtdserver",, "T&amp;T0", "PRE", 469)</f>
        <v>0</v>
      </c>
      <c r="D472" s="1">
        <f>RTD("rtdtrading.rtdserver",, "T&amp;T0", "QUL", 469)</f>
        <v>0</v>
      </c>
      <c r="E472" s="1" t="str">
        <f>RTD("rtdtrading.rtdserver",, "T&amp;T0", "AVD", 469)</f>
        <v>-</v>
      </c>
      <c r="F472" s="1" t="str">
        <f>RTD("rtdtrading.rtdserver",, "T&amp;T0", "AGR", 469)</f>
        <v>-</v>
      </c>
      <c r="G472" s="1" t="str">
        <f>RTD("rtdtrading.rtdserver",, "T&amp;T0", "AGAG", 469)</f>
        <v>-</v>
      </c>
    </row>
    <row r="473" spans="1:7" x14ac:dyDescent="0.25">
      <c r="A473" s="1" t="str">
        <f>RTD("rtdtrading.rtdserver",, "T&amp;T0", "DAT", 470)</f>
        <v>-</v>
      </c>
      <c r="B473" s="1" t="str">
        <f>RTD("rtdtrading.rtdserver",, "T&amp;T0", "ACP", 470)</f>
        <v>-</v>
      </c>
      <c r="C473" s="1">
        <f>RTD("rtdtrading.rtdserver",, "T&amp;T0", "PRE", 470)</f>
        <v>0</v>
      </c>
      <c r="D473" s="1">
        <f>RTD("rtdtrading.rtdserver",, "T&amp;T0", "QUL", 470)</f>
        <v>0</v>
      </c>
      <c r="E473" s="1" t="str">
        <f>RTD("rtdtrading.rtdserver",, "T&amp;T0", "AVD", 470)</f>
        <v>-</v>
      </c>
      <c r="F473" s="1" t="str">
        <f>RTD("rtdtrading.rtdserver",, "T&amp;T0", "AGR", 470)</f>
        <v>-</v>
      </c>
      <c r="G473" s="1" t="str">
        <f>RTD("rtdtrading.rtdserver",, "T&amp;T0", "AGAG", 470)</f>
        <v>-</v>
      </c>
    </row>
    <row r="474" spans="1:7" x14ac:dyDescent="0.25">
      <c r="A474" s="1" t="str">
        <f>RTD("rtdtrading.rtdserver",, "T&amp;T0", "DAT", 471)</f>
        <v>-</v>
      </c>
      <c r="B474" s="1" t="str">
        <f>RTD("rtdtrading.rtdserver",, "T&amp;T0", "ACP", 471)</f>
        <v>-</v>
      </c>
      <c r="C474" s="1">
        <f>RTD("rtdtrading.rtdserver",, "T&amp;T0", "PRE", 471)</f>
        <v>0</v>
      </c>
      <c r="D474" s="1">
        <f>RTD("rtdtrading.rtdserver",, "T&amp;T0", "QUL", 471)</f>
        <v>0</v>
      </c>
      <c r="E474" s="1" t="str">
        <f>RTD("rtdtrading.rtdserver",, "T&amp;T0", "AVD", 471)</f>
        <v>-</v>
      </c>
      <c r="F474" s="1" t="str">
        <f>RTD("rtdtrading.rtdserver",, "T&amp;T0", "AGR", 471)</f>
        <v>-</v>
      </c>
      <c r="G474" s="1" t="str">
        <f>RTD("rtdtrading.rtdserver",, "T&amp;T0", "AGAG", 471)</f>
        <v>-</v>
      </c>
    </row>
    <row r="475" spans="1:7" x14ac:dyDescent="0.25">
      <c r="A475" s="1" t="str">
        <f>RTD("rtdtrading.rtdserver",, "T&amp;T0", "DAT", 472)</f>
        <v>-</v>
      </c>
      <c r="B475" s="1" t="str">
        <f>RTD("rtdtrading.rtdserver",, "T&amp;T0", "ACP", 472)</f>
        <v>-</v>
      </c>
      <c r="C475" s="1">
        <f>RTD("rtdtrading.rtdserver",, "T&amp;T0", "PRE", 472)</f>
        <v>0</v>
      </c>
      <c r="D475" s="1">
        <f>RTD("rtdtrading.rtdserver",, "T&amp;T0", "QUL", 472)</f>
        <v>0</v>
      </c>
      <c r="E475" s="1" t="str">
        <f>RTD("rtdtrading.rtdserver",, "T&amp;T0", "AVD", 472)</f>
        <v>-</v>
      </c>
      <c r="F475" s="1" t="str">
        <f>RTD("rtdtrading.rtdserver",, "T&amp;T0", "AGR", 472)</f>
        <v>-</v>
      </c>
      <c r="G475" s="1" t="str">
        <f>RTD("rtdtrading.rtdserver",, "T&amp;T0", "AGAG", 472)</f>
        <v>-</v>
      </c>
    </row>
    <row r="476" spans="1:7" x14ac:dyDescent="0.25">
      <c r="A476" s="1" t="str">
        <f>RTD("rtdtrading.rtdserver",, "T&amp;T0", "DAT", 473)</f>
        <v>-</v>
      </c>
      <c r="B476" s="1" t="str">
        <f>RTD("rtdtrading.rtdserver",, "T&amp;T0", "ACP", 473)</f>
        <v>-</v>
      </c>
      <c r="C476" s="1">
        <f>RTD("rtdtrading.rtdserver",, "T&amp;T0", "PRE", 473)</f>
        <v>0</v>
      </c>
      <c r="D476" s="1">
        <f>RTD("rtdtrading.rtdserver",, "T&amp;T0", "QUL", 473)</f>
        <v>0</v>
      </c>
      <c r="E476" s="1" t="str">
        <f>RTD("rtdtrading.rtdserver",, "T&amp;T0", "AVD", 473)</f>
        <v>-</v>
      </c>
      <c r="F476" s="1" t="str">
        <f>RTD("rtdtrading.rtdserver",, "T&amp;T0", "AGR", 473)</f>
        <v>-</v>
      </c>
      <c r="G476" s="1" t="str">
        <f>RTD("rtdtrading.rtdserver",, "T&amp;T0", "AGAG", 473)</f>
        <v>-</v>
      </c>
    </row>
    <row r="477" spans="1:7" x14ac:dyDescent="0.25">
      <c r="A477" s="1" t="str">
        <f>RTD("rtdtrading.rtdserver",, "T&amp;T0", "DAT", 474)</f>
        <v>-</v>
      </c>
      <c r="B477" s="1" t="str">
        <f>RTD("rtdtrading.rtdserver",, "T&amp;T0", "ACP", 474)</f>
        <v>-</v>
      </c>
      <c r="C477" s="1">
        <f>RTD("rtdtrading.rtdserver",, "T&amp;T0", "PRE", 474)</f>
        <v>0</v>
      </c>
      <c r="D477" s="1">
        <f>RTD("rtdtrading.rtdserver",, "T&amp;T0", "QUL", 474)</f>
        <v>0</v>
      </c>
      <c r="E477" s="1" t="str">
        <f>RTD("rtdtrading.rtdserver",, "T&amp;T0", "AVD", 474)</f>
        <v>-</v>
      </c>
      <c r="F477" s="1" t="str">
        <f>RTD("rtdtrading.rtdserver",, "T&amp;T0", "AGR", 474)</f>
        <v>-</v>
      </c>
      <c r="G477" s="1" t="str">
        <f>RTD("rtdtrading.rtdserver",, "T&amp;T0", "AGAG", 474)</f>
        <v>-</v>
      </c>
    </row>
    <row r="478" spans="1:7" x14ac:dyDescent="0.25">
      <c r="A478" s="1" t="str">
        <f>RTD("rtdtrading.rtdserver",, "T&amp;T0", "DAT", 475)</f>
        <v>-</v>
      </c>
      <c r="B478" s="1" t="str">
        <f>RTD("rtdtrading.rtdserver",, "T&amp;T0", "ACP", 475)</f>
        <v>-</v>
      </c>
      <c r="C478" s="1">
        <f>RTD("rtdtrading.rtdserver",, "T&amp;T0", "PRE", 475)</f>
        <v>0</v>
      </c>
      <c r="D478" s="1">
        <f>RTD("rtdtrading.rtdserver",, "T&amp;T0", "QUL", 475)</f>
        <v>0</v>
      </c>
      <c r="E478" s="1" t="str">
        <f>RTD("rtdtrading.rtdserver",, "T&amp;T0", "AVD", 475)</f>
        <v>-</v>
      </c>
      <c r="F478" s="1" t="str">
        <f>RTD("rtdtrading.rtdserver",, "T&amp;T0", "AGR", 475)</f>
        <v>-</v>
      </c>
      <c r="G478" s="1" t="str">
        <f>RTD("rtdtrading.rtdserver",, "T&amp;T0", "AGAG", 475)</f>
        <v>-</v>
      </c>
    </row>
    <row r="479" spans="1:7" x14ac:dyDescent="0.25">
      <c r="A479" s="1" t="str">
        <f>RTD("rtdtrading.rtdserver",, "T&amp;T0", "DAT", 476)</f>
        <v>-</v>
      </c>
      <c r="B479" s="1" t="str">
        <f>RTD("rtdtrading.rtdserver",, "T&amp;T0", "ACP", 476)</f>
        <v>-</v>
      </c>
      <c r="C479" s="1">
        <f>RTD("rtdtrading.rtdserver",, "T&amp;T0", "PRE", 476)</f>
        <v>0</v>
      </c>
      <c r="D479" s="1">
        <f>RTD("rtdtrading.rtdserver",, "T&amp;T0", "QUL", 476)</f>
        <v>0</v>
      </c>
      <c r="E479" s="1" t="str">
        <f>RTD("rtdtrading.rtdserver",, "T&amp;T0", "AVD", 476)</f>
        <v>-</v>
      </c>
      <c r="F479" s="1" t="str">
        <f>RTD("rtdtrading.rtdserver",, "T&amp;T0", "AGR", 476)</f>
        <v>-</v>
      </c>
      <c r="G479" s="1" t="str">
        <f>RTD("rtdtrading.rtdserver",, "T&amp;T0", "AGAG", 476)</f>
        <v>-</v>
      </c>
    </row>
    <row r="480" spans="1:7" x14ac:dyDescent="0.25">
      <c r="A480" s="1" t="str">
        <f>RTD("rtdtrading.rtdserver",, "T&amp;T0", "DAT", 477)</f>
        <v>-</v>
      </c>
      <c r="B480" s="1" t="str">
        <f>RTD("rtdtrading.rtdserver",, "T&amp;T0", "ACP", 477)</f>
        <v>-</v>
      </c>
      <c r="C480" s="1">
        <f>RTD("rtdtrading.rtdserver",, "T&amp;T0", "PRE", 477)</f>
        <v>0</v>
      </c>
      <c r="D480" s="1">
        <f>RTD("rtdtrading.rtdserver",, "T&amp;T0", "QUL", 477)</f>
        <v>0</v>
      </c>
      <c r="E480" s="1" t="str">
        <f>RTD("rtdtrading.rtdserver",, "T&amp;T0", "AVD", 477)</f>
        <v>-</v>
      </c>
      <c r="F480" s="1" t="str">
        <f>RTD("rtdtrading.rtdserver",, "T&amp;T0", "AGR", 477)</f>
        <v>-</v>
      </c>
      <c r="G480" s="1" t="str">
        <f>RTD("rtdtrading.rtdserver",, "T&amp;T0", "AGAG", 477)</f>
        <v>-</v>
      </c>
    </row>
    <row r="481" spans="1:7" x14ac:dyDescent="0.25">
      <c r="A481" s="1" t="str">
        <f>RTD("rtdtrading.rtdserver",, "T&amp;T0", "DAT", 478)</f>
        <v>-</v>
      </c>
      <c r="B481" s="1" t="str">
        <f>RTD("rtdtrading.rtdserver",, "T&amp;T0", "ACP", 478)</f>
        <v>-</v>
      </c>
      <c r="C481" s="1">
        <f>RTD("rtdtrading.rtdserver",, "T&amp;T0", "PRE", 478)</f>
        <v>0</v>
      </c>
      <c r="D481" s="1">
        <f>RTD("rtdtrading.rtdserver",, "T&amp;T0", "QUL", 478)</f>
        <v>0</v>
      </c>
      <c r="E481" s="1" t="str">
        <f>RTD("rtdtrading.rtdserver",, "T&amp;T0", "AVD", 478)</f>
        <v>-</v>
      </c>
      <c r="F481" s="1" t="str">
        <f>RTD("rtdtrading.rtdserver",, "T&amp;T0", "AGR", 478)</f>
        <v>-</v>
      </c>
      <c r="G481" s="1" t="str">
        <f>RTD("rtdtrading.rtdserver",, "T&amp;T0", "AGAG", 478)</f>
        <v>-</v>
      </c>
    </row>
    <row r="482" spans="1:7" x14ac:dyDescent="0.25">
      <c r="A482" s="1" t="str">
        <f>RTD("rtdtrading.rtdserver",, "T&amp;T0", "DAT", 479)</f>
        <v>-</v>
      </c>
      <c r="B482" s="1" t="str">
        <f>RTD("rtdtrading.rtdserver",, "T&amp;T0", "ACP", 479)</f>
        <v>-</v>
      </c>
      <c r="C482" s="1">
        <f>RTD("rtdtrading.rtdserver",, "T&amp;T0", "PRE", 479)</f>
        <v>0</v>
      </c>
      <c r="D482" s="1">
        <f>RTD("rtdtrading.rtdserver",, "T&amp;T0", "QUL", 479)</f>
        <v>0</v>
      </c>
      <c r="E482" s="1" t="str">
        <f>RTD("rtdtrading.rtdserver",, "T&amp;T0", "AVD", 479)</f>
        <v>-</v>
      </c>
      <c r="F482" s="1" t="str">
        <f>RTD("rtdtrading.rtdserver",, "T&amp;T0", "AGR", 479)</f>
        <v>-</v>
      </c>
      <c r="G482" s="1" t="str">
        <f>RTD("rtdtrading.rtdserver",, "T&amp;T0", "AGAG", 479)</f>
        <v>-</v>
      </c>
    </row>
    <row r="483" spans="1:7" x14ac:dyDescent="0.25">
      <c r="A483" s="1" t="str">
        <f>RTD("rtdtrading.rtdserver",, "T&amp;T0", "DAT", 480)</f>
        <v>-</v>
      </c>
      <c r="B483" s="1" t="str">
        <f>RTD("rtdtrading.rtdserver",, "T&amp;T0", "ACP", 480)</f>
        <v>-</v>
      </c>
      <c r="C483" s="1">
        <f>RTD("rtdtrading.rtdserver",, "T&amp;T0", "PRE", 480)</f>
        <v>0</v>
      </c>
      <c r="D483" s="1">
        <f>RTD("rtdtrading.rtdserver",, "T&amp;T0", "QUL", 480)</f>
        <v>0</v>
      </c>
      <c r="E483" s="1" t="str">
        <f>RTD("rtdtrading.rtdserver",, "T&amp;T0", "AVD", 480)</f>
        <v>-</v>
      </c>
      <c r="F483" s="1" t="str">
        <f>RTD("rtdtrading.rtdserver",, "T&amp;T0", "AGR", 480)</f>
        <v>-</v>
      </c>
      <c r="G483" s="1" t="str">
        <f>RTD("rtdtrading.rtdserver",, "T&amp;T0", "AGAG", 480)</f>
        <v>-</v>
      </c>
    </row>
    <row r="484" spans="1:7" x14ac:dyDescent="0.25">
      <c r="A484" s="1" t="str">
        <f>RTD("rtdtrading.rtdserver",, "T&amp;T0", "DAT", 481)</f>
        <v>-</v>
      </c>
      <c r="B484" s="1" t="str">
        <f>RTD("rtdtrading.rtdserver",, "T&amp;T0", "ACP", 481)</f>
        <v>-</v>
      </c>
      <c r="C484" s="1">
        <f>RTD("rtdtrading.rtdserver",, "T&amp;T0", "PRE", 481)</f>
        <v>0</v>
      </c>
      <c r="D484" s="1">
        <f>RTD("rtdtrading.rtdserver",, "T&amp;T0", "QUL", 481)</f>
        <v>0</v>
      </c>
      <c r="E484" s="1" t="str">
        <f>RTD("rtdtrading.rtdserver",, "T&amp;T0", "AVD", 481)</f>
        <v>-</v>
      </c>
      <c r="F484" s="1" t="str">
        <f>RTD("rtdtrading.rtdserver",, "T&amp;T0", "AGR", 481)</f>
        <v>-</v>
      </c>
      <c r="G484" s="1" t="str">
        <f>RTD("rtdtrading.rtdserver",, "T&amp;T0", "AGAG", 481)</f>
        <v>-</v>
      </c>
    </row>
    <row r="485" spans="1:7" x14ac:dyDescent="0.25">
      <c r="A485" s="1" t="str">
        <f>RTD("rtdtrading.rtdserver",, "T&amp;T0", "DAT", 482)</f>
        <v>-</v>
      </c>
      <c r="B485" s="1" t="str">
        <f>RTD("rtdtrading.rtdserver",, "T&amp;T0", "ACP", 482)</f>
        <v>-</v>
      </c>
      <c r="C485" s="1">
        <f>RTD("rtdtrading.rtdserver",, "T&amp;T0", "PRE", 482)</f>
        <v>0</v>
      </c>
      <c r="D485" s="1">
        <f>RTD("rtdtrading.rtdserver",, "T&amp;T0", "QUL", 482)</f>
        <v>0</v>
      </c>
      <c r="E485" s="1" t="str">
        <f>RTD("rtdtrading.rtdserver",, "T&amp;T0", "AVD", 482)</f>
        <v>-</v>
      </c>
      <c r="F485" s="1" t="str">
        <f>RTD("rtdtrading.rtdserver",, "T&amp;T0", "AGR", 482)</f>
        <v>-</v>
      </c>
      <c r="G485" s="1" t="str">
        <f>RTD("rtdtrading.rtdserver",, "T&amp;T0", "AGAG", 482)</f>
        <v>-</v>
      </c>
    </row>
    <row r="486" spans="1:7" x14ac:dyDescent="0.25">
      <c r="A486" s="1" t="str">
        <f>RTD("rtdtrading.rtdserver",, "T&amp;T0", "DAT", 483)</f>
        <v>-</v>
      </c>
      <c r="B486" s="1" t="str">
        <f>RTD("rtdtrading.rtdserver",, "T&amp;T0", "ACP", 483)</f>
        <v>-</v>
      </c>
      <c r="C486" s="1">
        <f>RTD("rtdtrading.rtdserver",, "T&amp;T0", "PRE", 483)</f>
        <v>0</v>
      </c>
      <c r="D486" s="1">
        <f>RTD("rtdtrading.rtdserver",, "T&amp;T0", "QUL", 483)</f>
        <v>0</v>
      </c>
      <c r="E486" s="1" t="str">
        <f>RTD("rtdtrading.rtdserver",, "T&amp;T0", "AVD", 483)</f>
        <v>-</v>
      </c>
      <c r="F486" s="1" t="str">
        <f>RTD("rtdtrading.rtdserver",, "T&amp;T0", "AGR", 483)</f>
        <v>-</v>
      </c>
      <c r="G486" s="1" t="str">
        <f>RTD("rtdtrading.rtdserver",, "T&amp;T0", "AGAG", 483)</f>
        <v>-</v>
      </c>
    </row>
    <row r="487" spans="1:7" x14ac:dyDescent="0.25">
      <c r="A487" s="1" t="str">
        <f>RTD("rtdtrading.rtdserver",, "T&amp;T0", "DAT", 484)</f>
        <v>-</v>
      </c>
      <c r="B487" s="1" t="str">
        <f>RTD("rtdtrading.rtdserver",, "T&amp;T0", "ACP", 484)</f>
        <v>-</v>
      </c>
      <c r="C487" s="1">
        <f>RTD("rtdtrading.rtdserver",, "T&amp;T0", "PRE", 484)</f>
        <v>0</v>
      </c>
      <c r="D487" s="1">
        <f>RTD("rtdtrading.rtdserver",, "T&amp;T0", "QUL", 484)</f>
        <v>0</v>
      </c>
      <c r="E487" s="1" t="str">
        <f>RTD("rtdtrading.rtdserver",, "T&amp;T0", "AVD", 484)</f>
        <v>-</v>
      </c>
      <c r="F487" s="1" t="str">
        <f>RTD("rtdtrading.rtdserver",, "T&amp;T0", "AGR", 484)</f>
        <v>-</v>
      </c>
      <c r="G487" s="1" t="str">
        <f>RTD("rtdtrading.rtdserver",, "T&amp;T0", "AGAG", 484)</f>
        <v>-</v>
      </c>
    </row>
    <row r="488" spans="1:7" x14ac:dyDescent="0.25">
      <c r="A488" s="1" t="str">
        <f>RTD("rtdtrading.rtdserver",, "T&amp;T0", "DAT", 485)</f>
        <v>-</v>
      </c>
      <c r="B488" s="1" t="str">
        <f>RTD("rtdtrading.rtdserver",, "T&amp;T0", "ACP", 485)</f>
        <v>-</v>
      </c>
      <c r="C488" s="1">
        <f>RTD("rtdtrading.rtdserver",, "T&amp;T0", "PRE", 485)</f>
        <v>0</v>
      </c>
      <c r="D488" s="1">
        <f>RTD("rtdtrading.rtdserver",, "T&amp;T0", "QUL", 485)</f>
        <v>0</v>
      </c>
      <c r="E488" s="1" t="str">
        <f>RTD("rtdtrading.rtdserver",, "T&amp;T0", "AVD", 485)</f>
        <v>-</v>
      </c>
      <c r="F488" s="1" t="str">
        <f>RTD("rtdtrading.rtdserver",, "T&amp;T0", "AGR", 485)</f>
        <v>-</v>
      </c>
      <c r="G488" s="1" t="str">
        <f>RTD("rtdtrading.rtdserver",, "T&amp;T0", "AGAG", 485)</f>
        <v>-</v>
      </c>
    </row>
    <row r="489" spans="1:7" x14ac:dyDescent="0.25">
      <c r="A489" s="1" t="str">
        <f>RTD("rtdtrading.rtdserver",, "T&amp;T0", "DAT", 486)</f>
        <v>-</v>
      </c>
      <c r="B489" s="1" t="str">
        <f>RTD("rtdtrading.rtdserver",, "T&amp;T0", "ACP", 486)</f>
        <v>-</v>
      </c>
      <c r="C489" s="1">
        <f>RTD("rtdtrading.rtdserver",, "T&amp;T0", "PRE", 486)</f>
        <v>0</v>
      </c>
      <c r="D489" s="1">
        <f>RTD("rtdtrading.rtdserver",, "T&amp;T0", "QUL", 486)</f>
        <v>0</v>
      </c>
      <c r="E489" s="1" t="str">
        <f>RTD("rtdtrading.rtdserver",, "T&amp;T0", "AVD", 486)</f>
        <v>-</v>
      </c>
      <c r="F489" s="1" t="str">
        <f>RTD("rtdtrading.rtdserver",, "T&amp;T0", "AGR", 486)</f>
        <v>-</v>
      </c>
      <c r="G489" s="1" t="str">
        <f>RTD("rtdtrading.rtdserver",, "T&amp;T0", "AGAG", 486)</f>
        <v>-</v>
      </c>
    </row>
    <row r="490" spans="1:7" x14ac:dyDescent="0.25">
      <c r="A490" s="1" t="str">
        <f>RTD("rtdtrading.rtdserver",, "T&amp;T0", "DAT", 487)</f>
        <v>-</v>
      </c>
      <c r="B490" s="1" t="str">
        <f>RTD("rtdtrading.rtdserver",, "T&amp;T0", "ACP", 487)</f>
        <v>-</v>
      </c>
      <c r="C490" s="1">
        <f>RTD("rtdtrading.rtdserver",, "T&amp;T0", "PRE", 487)</f>
        <v>0</v>
      </c>
      <c r="D490" s="1">
        <f>RTD("rtdtrading.rtdserver",, "T&amp;T0", "QUL", 487)</f>
        <v>0</v>
      </c>
      <c r="E490" s="1" t="str">
        <f>RTD("rtdtrading.rtdserver",, "T&amp;T0", "AVD", 487)</f>
        <v>-</v>
      </c>
      <c r="F490" s="1" t="str">
        <f>RTD("rtdtrading.rtdserver",, "T&amp;T0", "AGR", 487)</f>
        <v>-</v>
      </c>
      <c r="G490" s="1" t="str">
        <f>RTD("rtdtrading.rtdserver",, "T&amp;T0", "AGAG", 487)</f>
        <v>-</v>
      </c>
    </row>
    <row r="491" spans="1:7" x14ac:dyDescent="0.25">
      <c r="A491" s="1" t="str">
        <f>RTD("rtdtrading.rtdserver",, "T&amp;T0", "DAT", 488)</f>
        <v>-</v>
      </c>
      <c r="B491" s="1" t="str">
        <f>RTD("rtdtrading.rtdserver",, "T&amp;T0", "ACP", 488)</f>
        <v>-</v>
      </c>
      <c r="C491" s="1">
        <f>RTD("rtdtrading.rtdserver",, "T&amp;T0", "PRE", 488)</f>
        <v>0</v>
      </c>
      <c r="D491" s="1">
        <f>RTD("rtdtrading.rtdserver",, "T&amp;T0", "QUL", 488)</f>
        <v>0</v>
      </c>
      <c r="E491" s="1" t="str">
        <f>RTD("rtdtrading.rtdserver",, "T&amp;T0", "AVD", 488)</f>
        <v>-</v>
      </c>
      <c r="F491" s="1" t="str">
        <f>RTD("rtdtrading.rtdserver",, "T&amp;T0", "AGR", 488)</f>
        <v>-</v>
      </c>
      <c r="G491" s="1" t="str">
        <f>RTD("rtdtrading.rtdserver",, "T&amp;T0", "AGAG", 488)</f>
        <v>-</v>
      </c>
    </row>
    <row r="492" spans="1:7" x14ac:dyDescent="0.25">
      <c r="A492" s="1" t="str">
        <f>RTD("rtdtrading.rtdserver",, "T&amp;T0", "DAT", 489)</f>
        <v>-</v>
      </c>
      <c r="B492" s="1" t="str">
        <f>RTD("rtdtrading.rtdserver",, "T&amp;T0", "ACP", 489)</f>
        <v>-</v>
      </c>
      <c r="C492" s="1">
        <f>RTD("rtdtrading.rtdserver",, "T&amp;T0", "PRE", 489)</f>
        <v>0</v>
      </c>
      <c r="D492" s="1">
        <f>RTD("rtdtrading.rtdserver",, "T&amp;T0", "QUL", 489)</f>
        <v>0</v>
      </c>
      <c r="E492" s="1" t="str">
        <f>RTD("rtdtrading.rtdserver",, "T&amp;T0", "AVD", 489)</f>
        <v>-</v>
      </c>
      <c r="F492" s="1" t="str">
        <f>RTD("rtdtrading.rtdserver",, "T&amp;T0", "AGR", 489)</f>
        <v>-</v>
      </c>
      <c r="G492" s="1" t="str">
        <f>RTD("rtdtrading.rtdserver",, "T&amp;T0", "AGAG", 489)</f>
        <v>-</v>
      </c>
    </row>
    <row r="493" spans="1:7" x14ac:dyDescent="0.25">
      <c r="A493" s="1" t="str">
        <f>RTD("rtdtrading.rtdserver",, "T&amp;T0", "DAT", 490)</f>
        <v>-</v>
      </c>
      <c r="B493" s="1" t="str">
        <f>RTD("rtdtrading.rtdserver",, "T&amp;T0", "ACP", 490)</f>
        <v>-</v>
      </c>
      <c r="C493" s="1">
        <f>RTD("rtdtrading.rtdserver",, "T&amp;T0", "PRE", 490)</f>
        <v>0</v>
      </c>
      <c r="D493" s="1">
        <f>RTD("rtdtrading.rtdserver",, "T&amp;T0", "QUL", 490)</f>
        <v>0</v>
      </c>
      <c r="E493" s="1" t="str">
        <f>RTD("rtdtrading.rtdserver",, "T&amp;T0", "AVD", 490)</f>
        <v>-</v>
      </c>
      <c r="F493" s="1" t="str">
        <f>RTD("rtdtrading.rtdserver",, "T&amp;T0", "AGR", 490)</f>
        <v>-</v>
      </c>
      <c r="G493" s="1" t="str">
        <f>RTD("rtdtrading.rtdserver",, "T&amp;T0", "AGAG", 490)</f>
        <v>-</v>
      </c>
    </row>
    <row r="494" spans="1:7" x14ac:dyDescent="0.25">
      <c r="A494" s="1" t="str">
        <f>RTD("rtdtrading.rtdserver",, "T&amp;T0", "DAT", 491)</f>
        <v>-</v>
      </c>
      <c r="B494" s="1" t="str">
        <f>RTD("rtdtrading.rtdserver",, "T&amp;T0", "ACP", 491)</f>
        <v>-</v>
      </c>
      <c r="C494" s="1">
        <f>RTD("rtdtrading.rtdserver",, "T&amp;T0", "PRE", 491)</f>
        <v>0</v>
      </c>
      <c r="D494" s="1">
        <f>RTD("rtdtrading.rtdserver",, "T&amp;T0", "QUL", 491)</f>
        <v>0</v>
      </c>
      <c r="E494" s="1" t="str">
        <f>RTD("rtdtrading.rtdserver",, "T&amp;T0", "AVD", 491)</f>
        <v>-</v>
      </c>
      <c r="F494" s="1" t="str">
        <f>RTD("rtdtrading.rtdserver",, "T&amp;T0", "AGR", 491)</f>
        <v>-</v>
      </c>
      <c r="G494" s="1" t="str">
        <f>RTD("rtdtrading.rtdserver",, "T&amp;T0", "AGAG", 491)</f>
        <v>-</v>
      </c>
    </row>
    <row r="495" spans="1:7" x14ac:dyDescent="0.25">
      <c r="A495" s="1" t="str">
        <f>RTD("rtdtrading.rtdserver",, "T&amp;T0", "DAT", 492)</f>
        <v>-</v>
      </c>
      <c r="B495" s="1" t="str">
        <f>RTD("rtdtrading.rtdserver",, "T&amp;T0", "ACP", 492)</f>
        <v>-</v>
      </c>
      <c r="C495" s="1">
        <f>RTD("rtdtrading.rtdserver",, "T&amp;T0", "PRE", 492)</f>
        <v>0</v>
      </c>
      <c r="D495" s="1">
        <f>RTD("rtdtrading.rtdserver",, "T&amp;T0", "QUL", 492)</f>
        <v>0</v>
      </c>
      <c r="E495" s="1" t="str">
        <f>RTD("rtdtrading.rtdserver",, "T&amp;T0", "AVD", 492)</f>
        <v>-</v>
      </c>
      <c r="F495" s="1" t="str">
        <f>RTD("rtdtrading.rtdserver",, "T&amp;T0", "AGR", 492)</f>
        <v>-</v>
      </c>
      <c r="G495" s="1" t="str">
        <f>RTD("rtdtrading.rtdserver",, "T&amp;T0", "AGAG", 492)</f>
        <v>-</v>
      </c>
    </row>
    <row r="496" spans="1:7" x14ac:dyDescent="0.25">
      <c r="A496" s="1" t="str">
        <f>RTD("rtdtrading.rtdserver",, "T&amp;T0", "DAT", 493)</f>
        <v>-</v>
      </c>
      <c r="B496" s="1" t="str">
        <f>RTD("rtdtrading.rtdserver",, "T&amp;T0", "ACP", 493)</f>
        <v>-</v>
      </c>
      <c r="C496" s="1">
        <f>RTD("rtdtrading.rtdserver",, "T&amp;T0", "PRE", 493)</f>
        <v>0</v>
      </c>
      <c r="D496" s="1">
        <f>RTD("rtdtrading.rtdserver",, "T&amp;T0", "QUL", 493)</f>
        <v>0</v>
      </c>
      <c r="E496" s="1" t="str">
        <f>RTD("rtdtrading.rtdserver",, "T&amp;T0", "AVD", 493)</f>
        <v>-</v>
      </c>
      <c r="F496" s="1" t="str">
        <f>RTD("rtdtrading.rtdserver",, "T&amp;T0", "AGR", 493)</f>
        <v>-</v>
      </c>
      <c r="G496" s="1" t="str">
        <f>RTD("rtdtrading.rtdserver",, "T&amp;T0", "AGAG", 493)</f>
        <v>-</v>
      </c>
    </row>
    <row r="497" spans="1:7" x14ac:dyDescent="0.25">
      <c r="A497" s="1" t="str">
        <f>RTD("rtdtrading.rtdserver",, "T&amp;T0", "DAT", 494)</f>
        <v>-</v>
      </c>
      <c r="B497" s="1" t="str">
        <f>RTD("rtdtrading.rtdserver",, "T&amp;T0", "ACP", 494)</f>
        <v>-</v>
      </c>
      <c r="C497" s="1">
        <f>RTD("rtdtrading.rtdserver",, "T&amp;T0", "PRE", 494)</f>
        <v>0</v>
      </c>
      <c r="D497" s="1">
        <f>RTD("rtdtrading.rtdserver",, "T&amp;T0", "QUL", 494)</f>
        <v>0</v>
      </c>
      <c r="E497" s="1" t="str">
        <f>RTD("rtdtrading.rtdserver",, "T&amp;T0", "AVD", 494)</f>
        <v>-</v>
      </c>
      <c r="F497" s="1" t="str">
        <f>RTD("rtdtrading.rtdserver",, "T&amp;T0", "AGR", 494)</f>
        <v>-</v>
      </c>
      <c r="G497" s="1" t="str">
        <f>RTD("rtdtrading.rtdserver",, "T&amp;T0", "AGAG", 494)</f>
        <v>-</v>
      </c>
    </row>
    <row r="498" spans="1:7" x14ac:dyDescent="0.25">
      <c r="A498" s="1" t="str">
        <f>RTD("rtdtrading.rtdserver",, "T&amp;T0", "DAT", 495)</f>
        <v>-</v>
      </c>
      <c r="B498" s="1" t="str">
        <f>RTD("rtdtrading.rtdserver",, "T&amp;T0", "ACP", 495)</f>
        <v>-</v>
      </c>
      <c r="C498" s="1">
        <f>RTD("rtdtrading.rtdserver",, "T&amp;T0", "PRE", 495)</f>
        <v>0</v>
      </c>
      <c r="D498" s="1">
        <f>RTD("rtdtrading.rtdserver",, "T&amp;T0", "QUL", 495)</f>
        <v>0</v>
      </c>
      <c r="E498" s="1" t="str">
        <f>RTD("rtdtrading.rtdserver",, "T&amp;T0", "AVD", 495)</f>
        <v>-</v>
      </c>
      <c r="F498" s="1" t="str">
        <f>RTD("rtdtrading.rtdserver",, "T&amp;T0", "AGR", 495)</f>
        <v>-</v>
      </c>
      <c r="G498" s="1" t="str">
        <f>RTD("rtdtrading.rtdserver",, "T&amp;T0", "AGAG", 495)</f>
        <v>-</v>
      </c>
    </row>
    <row r="499" spans="1:7" x14ac:dyDescent="0.25">
      <c r="A499" s="1" t="str">
        <f>RTD("rtdtrading.rtdserver",, "T&amp;T0", "DAT", 496)</f>
        <v>-</v>
      </c>
      <c r="B499" s="1" t="str">
        <f>RTD("rtdtrading.rtdserver",, "T&amp;T0", "ACP", 496)</f>
        <v>-</v>
      </c>
      <c r="C499" s="1">
        <f>RTD("rtdtrading.rtdserver",, "T&amp;T0", "PRE", 496)</f>
        <v>0</v>
      </c>
      <c r="D499" s="1">
        <f>RTD("rtdtrading.rtdserver",, "T&amp;T0", "QUL", 496)</f>
        <v>0</v>
      </c>
      <c r="E499" s="1" t="str">
        <f>RTD("rtdtrading.rtdserver",, "T&amp;T0", "AVD", 496)</f>
        <v>-</v>
      </c>
      <c r="F499" s="1" t="str">
        <f>RTD("rtdtrading.rtdserver",, "T&amp;T0", "AGR", 496)</f>
        <v>-</v>
      </c>
      <c r="G499" s="1" t="str">
        <f>RTD("rtdtrading.rtdserver",, "T&amp;T0", "AGAG", 496)</f>
        <v>-</v>
      </c>
    </row>
    <row r="500" spans="1:7" x14ac:dyDescent="0.25">
      <c r="A500" s="1" t="str">
        <f>RTD("rtdtrading.rtdserver",, "T&amp;T0", "DAT", 497)</f>
        <v>-</v>
      </c>
      <c r="B500" s="1" t="str">
        <f>RTD("rtdtrading.rtdserver",, "T&amp;T0", "ACP", 497)</f>
        <v>-</v>
      </c>
      <c r="C500" s="1">
        <f>RTD("rtdtrading.rtdserver",, "T&amp;T0", "PRE", 497)</f>
        <v>0</v>
      </c>
      <c r="D500" s="1">
        <f>RTD("rtdtrading.rtdserver",, "T&amp;T0", "QUL", 497)</f>
        <v>0</v>
      </c>
      <c r="E500" s="1" t="str">
        <f>RTD("rtdtrading.rtdserver",, "T&amp;T0", "AVD", 497)</f>
        <v>-</v>
      </c>
      <c r="F500" s="1" t="str">
        <f>RTD("rtdtrading.rtdserver",, "T&amp;T0", "AGR", 497)</f>
        <v>-</v>
      </c>
      <c r="G500" s="1" t="str">
        <f>RTD("rtdtrading.rtdserver",, "T&amp;T0", "AGAG", 497)</f>
        <v>-</v>
      </c>
    </row>
    <row r="501" spans="1:7" x14ac:dyDescent="0.25">
      <c r="A501" s="1" t="str">
        <f>RTD("rtdtrading.rtdserver",, "T&amp;T0", "DAT", 498)</f>
        <v>-</v>
      </c>
      <c r="B501" s="1" t="str">
        <f>RTD("rtdtrading.rtdserver",, "T&amp;T0", "ACP", 498)</f>
        <v>-</v>
      </c>
      <c r="C501" s="1">
        <f>RTD("rtdtrading.rtdserver",, "T&amp;T0", "PRE", 498)</f>
        <v>0</v>
      </c>
      <c r="D501" s="1">
        <f>RTD("rtdtrading.rtdserver",, "T&amp;T0", "QUL", 498)</f>
        <v>0</v>
      </c>
      <c r="E501" s="1" t="str">
        <f>RTD("rtdtrading.rtdserver",, "T&amp;T0", "AVD", 498)</f>
        <v>-</v>
      </c>
      <c r="F501" s="1" t="str">
        <f>RTD("rtdtrading.rtdserver",, "T&amp;T0", "AGR", 498)</f>
        <v>-</v>
      </c>
      <c r="G501" s="1" t="str">
        <f>RTD("rtdtrading.rtdserver",, "T&amp;T0", "AGAG", 498)</f>
        <v>-</v>
      </c>
    </row>
    <row r="502" spans="1:7" x14ac:dyDescent="0.25">
      <c r="A502" s="1" t="str">
        <f>RTD("rtdtrading.rtdserver",, "T&amp;T0", "DAT", 499)</f>
        <v>-</v>
      </c>
      <c r="B502" s="1" t="str">
        <f>RTD("rtdtrading.rtdserver",, "T&amp;T0", "ACP", 499)</f>
        <v>-</v>
      </c>
      <c r="C502" s="1">
        <f>RTD("rtdtrading.rtdserver",, "T&amp;T0", "PRE", 499)</f>
        <v>0</v>
      </c>
      <c r="D502" s="1">
        <f>RTD("rtdtrading.rtdserver",, "T&amp;T0", "QUL", 499)</f>
        <v>0</v>
      </c>
      <c r="E502" s="1" t="str">
        <f>RTD("rtdtrading.rtdserver",, "T&amp;T0", "AVD", 499)</f>
        <v>-</v>
      </c>
      <c r="F502" s="1" t="str">
        <f>RTD("rtdtrading.rtdserver",, "T&amp;T0", "AGR", 499)</f>
        <v>-</v>
      </c>
      <c r="G502" s="1" t="str">
        <f>RTD("rtdtrading.rtdserver",, "T&amp;T0", "AGAG", 499)</f>
        <v>-</v>
      </c>
    </row>
    <row r="503" spans="1:7" x14ac:dyDescent="0.25">
      <c r="A503" s="1" t="str">
        <f>RTD("rtdtrading.rtdserver",, "T&amp;T0", "DAT", 499)</f>
        <v>-</v>
      </c>
      <c r="B503" s="1" t="str">
        <f>RTD("rtdtrading.rtdserver",, "T&amp;T0", "ACP", 499)</f>
        <v>-</v>
      </c>
      <c r="C503" s="1">
        <f>RTD("rtdtrading.rtdserver",, "T&amp;T0", "PRE", 499)</f>
        <v>0</v>
      </c>
      <c r="D503" s="1">
        <f>RTD("rtdtrading.rtdserver",, "T&amp;T0", "QUL", 499)</f>
        <v>0</v>
      </c>
      <c r="E503" s="1" t="str">
        <f>RTD("rtdtrading.rtdserver",, "T&amp;T0", "AVD", 499)</f>
        <v>-</v>
      </c>
      <c r="F503" s="1" t="str">
        <f>RTD("rtdtrading.rtdserver",, "T&amp;T0", "AGR", 499)</f>
        <v>-</v>
      </c>
      <c r="G503" s="1" t="str">
        <f>RTD("rtdtrading.rtdserver",, "T&amp;T0", "AGAG", 499)</f>
        <v>-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Reis</dc:creator>
  <cp:lastModifiedBy>Daniel Reis</cp:lastModifiedBy>
  <dcterms:created xsi:type="dcterms:W3CDTF">2026-10-02T11:21:39Z</dcterms:created>
  <dcterms:modified xsi:type="dcterms:W3CDTF">2026-10-02T11:37:16Z</dcterms:modified>
</cp:coreProperties>
</file>